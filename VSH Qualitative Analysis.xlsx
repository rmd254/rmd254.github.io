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riyadesai/Downloads/"/>
    </mc:Choice>
  </mc:AlternateContent>
  <xr:revisionPtr revIDLastSave="0" documentId="8_{29B9EDA6-D0DD-5B4D-84DD-7869DE345A23}" xr6:coauthVersionLast="47" xr6:coauthVersionMax="47" xr10:uidLastSave="{00000000-0000-0000-0000-000000000000}"/>
  <bookViews>
    <workbookView xWindow="80" yWindow="760" windowWidth="29320" windowHeight="16900" xr2:uid="{00000000-000D-0000-FFFF-FFFF00000000}"/>
  </bookViews>
  <sheets>
    <sheet name="Notes" sheetId="2" r:id="rId1"/>
    <sheet name="Model" sheetId="3" r:id="rId2"/>
    <sheet name="Sheet2" sheetId="4" r:id="rId3"/>
    <sheet name="DCF" sheetId="5" r:id="rId4"/>
    <sheet name="Relative Valuation" sheetId="6" r:id="rId5"/>
    <sheet name="Valuation" sheetId="7" r:id="rId6"/>
    <sheet name="Scenarios" sheetId="8" r:id="rId7"/>
    <sheet name="Model Summary" sheetId="9" r:id="rId8"/>
    <sheet name="Share Prices"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moSiyrSHEA+Wj9fMfi7Og45i7llRwwDcG6bA+ZamB6Y="/>
    </ext>
  </extLst>
</workbook>
</file>

<file path=xl/calcChain.xml><?xml version="1.0" encoding="utf-8"?>
<calcChain xmlns="http://schemas.openxmlformats.org/spreadsheetml/2006/main">
  <c r="C23" i="8" l="1"/>
  <c r="B23" i="8"/>
  <c r="D22" i="8"/>
  <c r="C22" i="8"/>
  <c r="B22" i="8"/>
  <c r="D15" i="8"/>
  <c r="D17" i="8" s="1"/>
  <c r="D19" i="8" s="1"/>
  <c r="C15" i="8"/>
  <c r="C17" i="8" s="1"/>
  <c r="C19" i="8" s="1"/>
  <c r="B15" i="8"/>
  <c r="B17" i="8" s="1"/>
  <c r="B19" i="8" s="1"/>
  <c r="D12" i="8"/>
  <c r="C12" i="8"/>
  <c r="B12" i="8"/>
  <c r="D11" i="8"/>
  <c r="C11" i="8"/>
  <c r="B11" i="8"/>
  <c r="D8" i="8"/>
  <c r="C8" i="8"/>
  <c r="B8" i="8"/>
  <c r="B23" i="7"/>
  <c r="B24" i="7" s="1"/>
  <c r="B25" i="7" s="1"/>
  <c r="B15" i="7"/>
  <c r="B17" i="7" s="1"/>
  <c r="B19" i="7" s="1"/>
  <c r="B8" i="7"/>
  <c r="B10" i="7" s="1"/>
  <c r="B5" i="7"/>
  <c r="N15" i="6"/>
  <c r="M15" i="6"/>
  <c r="L15" i="6"/>
  <c r="K15" i="6"/>
  <c r="J15" i="6"/>
  <c r="I15" i="6"/>
  <c r="H15" i="6"/>
  <c r="G15" i="6"/>
  <c r="F15" i="6"/>
  <c r="E15" i="6"/>
  <c r="D15" i="6"/>
  <c r="C15" i="6"/>
  <c r="N14" i="6"/>
  <c r="M14" i="6"/>
  <c r="L14" i="6"/>
  <c r="K14" i="6"/>
  <c r="J14" i="6"/>
  <c r="I14" i="6"/>
  <c r="H14" i="6"/>
  <c r="G14" i="6"/>
  <c r="F14" i="6"/>
  <c r="E14" i="6"/>
  <c r="D14" i="6"/>
  <c r="C14" i="6"/>
  <c r="C40" i="5"/>
  <c r="K28" i="5"/>
  <c r="J28" i="5"/>
  <c r="I28" i="5"/>
  <c r="H28" i="5"/>
  <c r="G28" i="5"/>
  <c r="K17" i="5"/>
  <c r="K25" i="5" s="1"/>
  <c r="J17" i="5"/>
  <c r="J25" i="5" s="1"/>
  <c r="I17" i="5"/>
  <c r="I25" i="5" s="1"/>
  <c r="H17" i="5"/>
  <c r="H25" i="5" s="1"/>
  <c r="K14" i="5"/>
  <c r="J14" i="5"/>
  <c r="I14" i="5"/>
  <c r="H14" i="5"/>
  <c r="G14" i="5"/>
  <c r="G17" i="5" s="1"/>
  <c r="G25" i="5" s="1"/>
  <c r="K12" i="5"/>
  <c r="J12" i="5"/>
  <c r="I12" i="5"/>
  <c r="H12" i="5"/>
  <c r="G12" i="5"/>
  <c r="F12" i="5"/>
  <c r="E12" i="5"/>
  <c r="D12" i="5"/>
  <c r="C12" i="5"/>
  <c r="K9" i="5"/>
  <c r="J9" i="5"/>
  <c r="I9" i="5"/>
  <c r="H9" i="5"/>
  <c r="G9" i="5"/>
  <c r="F9" i="5"/>
  <c r="E9" i="5"/>
  <c r="D9" i="5"/>
  <c r="C9" i="5"/>
  <c r="K6" i="5"/>
  <c r="J6" i="5"/>
  <c r="I6" i="5"/>
  <c r="H6" i="5"/>
  <c r="G6" i="5"/>
  <c r="F6" i="5"/>
  <c r="E6" i="5"/>
  <c r="D6" i="5"/>
  <c r="D4" i="5"/>
  <c r="E4" i="5" s="1"/>
  <c r="F4" i="5" s="1"/>
  <c r="G4" i="5" s="1"/>
  <c r="H4" i="5" s="1"/>
  <c r="I4" i="5" s="1"/>
  <c r="J4" i="5" s="1"/>
  <c r="K4" i="5" s="1"/>
  <c r="G27" i="5" l="1"/>
  <c r="H27" i="5"/>
  <c r="B20" i="7"/>
  <c r="B21" i="7" s="1"/>
  <c r="B27" i="7"/>
  <c r="B28" i="7" s="1"/>
  <c r="B29" i="7" s="1"/>
  <c r="K27" i="5"/>
  <c r="C33" i="5"/>
  <c r="C34" i="5" s="1"/>
  <c r="J27" i="5"/>
  <c r="C30" i="5"/>
  <c r="I27" i="5"/>
  <c r="C35" i="5" s="1"/>
  <c r="C29" i="5"/>
  <c r="C36" i="5" l="1"/>
  <c r="C37" i="5" l="1"/>
  <c r="C41" i="5"/>
  <c r="C43" i="5" s="1"/>
</calcChain>
</file>

<file path=xl/sharedStrings.xml><?xml version="1.0" encoding="utf-8"?>
<sst xmlns="http://schemas.openxmlformats.org/spreadsheetml/2006/main" count="458" uniqueCount="313">
  <si>
    <t>Segment</t>
  </si>
  <si>
    <t>Brands, Products, &amp; Market Share</t>
  </si>
  <si>
    <t>Key Drivers</t>
  </si>
  <si>
    <t>Competitors</t>
  </si>
  <si>
    <t>End Markets/Customers</t>
  </si>
  <si>
    <t>Timeline</t>
  </si>
  <si>
    <t>Management</t>
  </si>
  <si>
    <t>CEO</t>
  </si>
  <si>
    <t>CFO</t>
  </si>
  <si>
    <t>Negatives / Risks</t>
  </si>
  <si>
    <t>MOSFETs</t>
  </si>
  <si>
    <t>Brands: Siliconix. 
Products: TrenchFET®, ThunderFET®, and SiC MOSFETs. 
Market Share: Worldwide leader in low-voltage power MOSFETs.</t>
  </si>
  <si>
    <t>AI Server Growth: High demand for efficient power management in data centers (shipments doubled YoY). 
EV Electrification: Shift to 800V battery systems increases SiC content per vehicle.</t>
  </si>
  <si>
    <t>Infineon, ON Semiconductor (onsemi), STMicroelectronics, Renesas, and Toshiba.</t>
  </si>
  <si>
    <t>Automotive (34-36%): EVs, Battery Management Systems (BMS), ADAS. 
 Computing &amp; AI: Server power supplies and CSPs.</t>
  </si>
  <si>
    <t>Diodes &amp; Optoelectronics</t>
  </si>
  <si>
    <t>Brands: General Semiconductor, Vishay Semiconductors. 
Products: TMBS®, FRED Pt® Rectifiers; Infrared Sensors. 
Market Share: Global leader in power rectifiers and infrared components.</t>
  </si>
  <si>
    <t>Inventory Cycles: Recovery in distribution "pull rates" (56% of sales).Gaining share via supply chain diversification initiatives.</t>
  </si>
  <si>
    <t>STMicroelectronics, Diodes Inc., NXP, Broadcom, and ams OSRAM.</t>
  </si>
  <si>
    <t>Industrial (28-35%): Automation, robotics, and sensors. 
 Consumer: Portable appliances and mobile devices.</t>
  </si>
  <si>
    <t>Resistors</t>
  </si>
  <si>
    <t>Design-In Stickiness: Early engineering specification creates high switching costs (re-qualification costs millions). 
Smart Grid: Multi-year infrastructure modernization in the U.S. and Europe.</t>
  </si>
  <si>
    <t>Murata, TDK-EPCOS, Panasonic, Yageo, Bourns, and KOA.</t>
  </si>
  <si>
    <t>Smart Grid &amp; Utilities: Grid modernization and renewable energy. 
 Medical: Surgical robots and patient monitoring.</t>
  </si>
  <si>
    <t>Inductors</t>
  </si>
  <si>
    <t>Brands: Dale, HiRel Systems. 
Products: IHLP® Low-Profile, IHDM Automotive Grade. 
Market: Leader in power inductors.</t>
  </si>
  <si>
    <t>ADAS/Automation: Higher inductor count/vehicle for safety-critical sensors. Growth in robotics requiring miniaturized power parts.</t>
  </si>
  <si>
    <t>Murata, TDK, Taiyo Yuden, and Panasonic.</t>
  </si>
  <si>
    <t>Military &amp; Aerospace: High-reliability flight and defense systems. 
 Automotive: Power steering and ADAS.</t>
  </si>
  <si>
    <t>Capacitors</t>
  </si>
  <si>
    <t>Brands: Sprague, Vitramon, Roederstein, ESTA. 
Products: Tantalum (Wet &amp; Conformal), MLCCs, DC-Link. 
Market Share: Worldwide leader in wet and conformal-coated tantalum capacitors.</t>
  </si>
  <si>
    <t>Military programs (missiles/ satellites) boosting tantalum orders. Network infrastructure requiring high-reliability MLCCs.</t>
  </si>
  <si>
    <t>Kyocera, KEMET (Yageo), Murata, and Nichicon.</t>
  </si>
  <si>
    <t>Defense (6-11%): Missile systems and satellite comms. 
Telecommunications: 5G base stations and data centers.</t>
  </si>
  <si>
    <r>
      <rPr>
        <b/>
        <sz val="11"/>
        <color theme="1"/>
        <rFont val="Arial"/>
        <family val="2"/>
      </rPr>
      <t xml:space="preserve">2/22/2022: </t>
    </r>
    <r>
      <rPr>
        <sz val="11"/>
        <color theme="1"/>
        <rFont val="Arial"/>
        <family val="2"/>
      </rPr>
      <t>Announced CEO retirement and succession plan; Dr. Gerald Paul to retire after 17 years as CEO.</t>
    </r>
  </si>
  <si>
    <r>
      <rPr>
        <b/>
        <sz val="11"/>
        <color theme="1"/>
        <rFont val="Arial"/>
        <family val="2"/>
      </rPr>
      <t xml:space="preserve">1/1/2023: </t>
    </r>
    <r>
      <rPr>
        <sz val="11"/>
        <color theme="1"/>
        <rFont val="Arial"/>
        <family val="2"/>
      </rPr>
      <t>Joel Smejkal appointed as President and CEO; Jeff Webster appointed to the newly created role of Chief Operating Officer (COO).</t>
    </r>
  </si>
  <si>
    <r>
      <rPr>
        <b/>
        <sz val="11"/>
        <color theme="1"/>
        <rFont val="Arial"/>
        <family val="2"/>
      </rPr>
      <t xml:space="preserve">11/2023: </t>
    </r>
    <r>
      <rPr>
        <sz val="11"/>
        <color theme="1"/>
        <rFont val="Arial"/>
        <family val="2"/>
      </rPr>
      <t>Agreed to acquire Newport Wafer Fab (the UK's largest semiconductor fab) from Nexperia for ~$177 million to accelerate SiC/GaN production.</t>
    </r>
  </si>
  <si>
    <r>
      <rPr>
        <b/>
        <sz val="11"/>
        <color theme="1"/>
        <rFont val="Arial"/>
        <family val="2"/>
      </rPr>
      <t xml:space="preserve">3/1/2024: </t>
    </r>
    <r>
      <rPr>
        <sz val="11"/>
        <color theme="1"/>
        <rFont val="Arial"/>
        <family val="2"/>
      </rPr>
      <t>David McConnell appointed as Executive Vice President and Chief Financial Officer, succeeding Lori Lipcaman.</t>
    </r>
  </si>
  <si>
    <r>
      <rPr>
        <b/>
        <sz val="11"/>
        <color theme="1"/>
        <rFont val="Arial"/>
        <family val="2"/>
      </rPr>
      <t>3/6/2024:</t>
    </r>
    <r>
      <rPr>
        <sz val="11"/>
        <color theme="1"/>
        <rFont val="Arial"/>
        <family val="2"/>
      </rPr>
      <t xml:space="preserve"> Completed the acquisition of Newport Wafer Fab, marking a major step in the "Vishay 3.0" strategic shift toward vertical integration.</t>
    </r>
  </si>
  <si>
    <r>
      <rPr>
        <b/>
        <sz val="11"/>
        <color theme="1"/>
        <rFont val="Arial"/>
        <family val="2"/>
      </rPr>
      <t xml:space="preserve">4/2/2024: </t>
    </r>
    <r>
      <rPr>
        <sz val="11"/>
        <color theme="1"/>
        <rFont val="Arial"/>
        <family val="2"/>
      </rPr>
      <t>Hosted 2024 Investor Day, unveiling a multi-year $2.6 billion capital expenditure plan (2023–2028) focused on e-mobility and sustainability.</t>
    </r>
  </si>
  <si>
    <r>
      <rPr>
        <b/>
        <sz val="11"/>
        <color theme="1"/>
        <rFont val="Arial"/>
        <family val="2"/>
      </rPr>
      <t xml:space="preserve">6/7/2024: </t>
    </r>
    <r>
      <rPr>
        <sz val="11"/>
        <color theme="1"/>
        <rFont val="Arial"/>
        <family val="2"/>
      </rPr>
      <t>Acquired Ametherm, a leader in inrush current limiters and sensing thermistors, for ~$31.5 million.</t>
    </r>
  </si>
  <si>
    <r>
      <rPr>
        <b/>
        <sz val="11"/>
        <color theme="1"/>
        <rFont val="Arial"/>
        <family val="2"/>
      </rPr>
      <t xml:space="preserve">9/24/2024: </t>
    </r>
    <r>
      <rPr>
        <sz val="11"/>
        <color theme="1"/>
        <rFont val="Arial"/>
        <family val="2"/>
      </rPr>
      <t>Formally launched the "Vishay 3.0" Growth Strategy, including restructuring actions to close three older manufacturing sites.</t>
    </r>
  </si>
  <si>
    <r>
      <rPr>
        <b/>
        <sz val="11"/>
        <color theme="1"/>
        <rFont val="Arial"/>
        <family val="2"/>
      </rPr>
      <t xml:space="preserve">11/2024: </t>
    </r>
    <r>
      <rPr>
        <sz val="11"/>
        <color theme="1"/>
        <rFont val="Arial"/>
        <family val="2"/>
      </rPr>
      <t>Acquired Birkelbach Kondensatortechnik GmbH for ~$18.5 million to secure metalized film supply for high-voltage capacitors.</t>
    </r>
  </si>
  <si>
    <r>
      <rPr>
        <b/>
        <sz val="11"/>
        <color theme="1"/>
        <rFont val="Arial"/>
        <family val="2"/>
      </rPr>
      <t xml:space="preserve">10/7/2025: </t>
    </r>
    <r>
      <rPr>
        <sz val="11"/>
        <color theme="1"/>
        <rFont val="Arial"/>
        <family val="2"/>
      </rPr>
      <t>Successfully delivered a massive portfolio expansion, releasing over 2,000 new SKUs across inductor and frequency control device lines.</t>
    </r>
  </si>
  <si>
    <r>
      <rPr>
        <b/>
        <sz val="11"/>
        <color theme="1"/>
        <rFont val="Arial"/>
        <family val="2"/>
      </rPr>
      <t xml:space="preserve">1/6/2026: </t>
    </r>
    <r>
      <rPr>
        <sz val="11"/>
        <color theme="1"/>
        <rFont val="Arial"/>
        <family val="2"/>
      </rPr>
      <t>Announced a commitment to build a new 12-inch wafer fab in Itzehoe, Germany, to meet future demand for SiC and high-voltage power semiconductors.</t>
    </r>
  </si>
  <si>
    <r>
      <rPr>
        <b/>
        <sz val="11"/>
        <color theme="1"/>
        <rFont val="Arial"/>
        <family val="2"/>
      </rPr>
      <t xml:space="preserve">2/4/2026: </t>
    </r>
    <r>
      <rPr>
        <sz val="11"/>
        <color theme="1"/>
        <rFont val="Arial"/>
        <family val="2"/>
      </rPr>
      <t>Reported Q4 2025 results, achieving a 1.20 book-to-bill ratio, signaling a clear demand inflection point and the highest order intake in three years.</t>
    </r>
  </si>
  <si>
    <t>Joel Smejkal (Appointed Jan 1, 2023). A 32-year Vishay veteran. He is the primary architect of the "Vishay 3.0" plan, shifting the company from a "passive positioning" strategy to an aggressive growth-oriented model.</t>
  </si>
  <si>
    <t>David McConnell (Appointed Mar 1, 2024). Previously served as Corporate Treasurer; his focus is on managing the high-CapEx cycle ($400M–$440M planned for 2026) while maintaining the dividend policy.</t>
  </si>
  <si>
    <t>COO</t>
  </si>
  <si>
    <t>Jeff Webster (Appointed Jan 1, 2023). Leads global operations and is tasked with the execution of the factory consolidations and the ramp-up of the Newport and Itzehoe facilities.</t>
  </si>
  <si>
    <t>Positives/Opportunity</t>
  </si>
  <si>
    <t>1. Dominant "One-Stop Shop" Portfolio: Vishay possesses one of the world's largest portfolios of discrete semiconductors and passive components, which allows it to serve as a "one-stop shop" for customers. This breadth contributes to high "stickiness," as Vishay components are frequently "designed in" during the early engineering phases of major OEM products, similar to the long-term client tenure seen in the Alight model.</t>
  </si>
  <si>
    <t>2. Significant Demand Inflection Point: The company ended Q4 2025 with a book-to-bill ratio of 1.20, marking a three-year high. Specifically, the semiconductor segment reached a book-to-bill of 1.27, signaling that the inventory destocking cycle is largely over and demand is now significantly outpacing supply heading into 2026.</t>
  </si>
  <si>
    <t>3. AI Server Power Tailwind: Vishay is uniquely positioned to capitalize on the surge in AI infrastructure, providing essential power management solutions for data centers. Shipments to meet AI server demand in Asia more than doubled year-over-year in late 2025, with products like eFuses offering 10% efficiency advantage.</t>
  </si>
  <si>
    <t>4. "Vishay 3.0" Growth Acceleration: Under the leadership of CEO Joel Smejkal, the company has pivoted from a reactive stance to an aggressive growth strategy. This plan includes a multi-year $2.6 billion capital expenditure plan (2023–2028) aimed at expanding capacity for high-growth sectors like e-mobility and sustainability.</t>
  </si>
  <si>
    <t>5. Vertical Integration via Newport Wafer Fab: The acquisition of the Newport facility (the UK's largest fab) provides a center of excellence for Silicon Carbide (SiC) and GaN production. This vertical integration allows Vishay to reliably scale its SiC MOSFET portfolio and capture higher margins in the 800V EV battery management market.</t>
  </si>
  <si>
    <t>6. Smart Grid and Infrastructure Tailwinds: Components play a critical role in high-voltage DC power transmission and smart grid projects. Multi-year infrastructure modernization programs in the U.S. and Europe are driving high-voltage resistor and capacitor demand, providing stable, long-cycle revenue streams.</t>
  </si>
  <si>
    <t>7. BOM Dominance in Next-Gen EVs: Vishay’s technology can fulfill up to 80% of the total Bill of Materials (BOM) for discrete and passive components in electric vehicles. The transition to 800V platforms significantly increases the content value per vehicle, benefiting Vishay's high-efficiency power semiconductors.</t>
  </si>
  <si>
    <t>8. Operational Efficiency Gains: As part of "Vishay 3.0," the company is consolidating its global footprint by closing three legacy facilities by the end of 2026. This shift toward a multi-product campus model is expected to streamline manufacturing and improve long-term structural margins.</t>
  </si>
  <si>
    <t>9. Resilient Cash Flow and Shareholder Returns: Despite peak capital expenditures, Vishay remains committed to returning at least 70% of free cash flow to stockholders through dividends and opportunistic share repurchases. Operating cash flow remained strong at $149.4 million in Q4 2025.</t>
  </si>
  <si>
    <t>10. Broad-Based Recovery Across Channels: The Q4 2025 performance reflected a broad recovery, with year-over-year revenue increases across nearly every segment (MOSFETs up 17.7%, Opto up 18.8%, and Capacitors up 14.4%).</t>
  </si>
  <si>
    <r>
      <rPr>
        <b/>
        <sz val="11"/>
        <color theme="1"/>
        <rFont val="Arial"/>
        <family val="2"/>
      </rPr>
      <t xml:space="preserve">"Many promising indicators": </t>
    </r>
    <r>
      <rPr>
        <sz val="11"/>
        <color theme="1"/>
        <rFont val="Arial"/>
        <family val="2"/>
      </rPr>
      <t>CEO Joel Smejkal used this to highlight that, despite seasonal dips, the underlying business metrics were inflecting.</t>
    </r>
  </si>
  <si>
    <r>
      <rPr>
        <b/>
        <sz val="11"/>
        <color theme="1"/>
        <rFont val="Arial"/>
        <family val="2"/>
      </rPr>
      <t xml:space="preserve">"Positive book-to-bill for the first time in nine quarters": </t>
    </r>
    <r>
      <rPr>
        <sz val="11"/>
        <color theme="1"/>
        <rFont val="Arial"/>
        <family val="2"/>
      </rPr>
      <t>A key marker of confidence that the multi-year inventory correction has finally bottomed out.</t>
    </r>
  </si>
  <si>
    <r>
      <rPr>
        <b/>
        <sz val="11"/>
        <color theme="1"/>
        <rFont val="Arial"/>
        <family val="2"/>
      </rPr>
      <t xml:space="preserve">"Orders at a three-year high": </t>
    </r>
    <r>
      <rPr>
        <sz val="11"/>
        <color theme="1"/>
        <rFont val="Arial"/>
        <family val="2"/>
      </rPr>
      <t>Used to describe broad-based demand across 95% of core business areas, including MOSFETs and inductors.</t>
    </r>
  </si>
  <si>
    <r>
      <rPr>
        <b/>
        <sz val="11"/>
        <color theme="1"/>
        <rFont val="Arial"/>
        <family val="2"/>
      </rPr>
      <t xml:space="preserve">"Asia dominated the revenue growth": </t>
    </r>
    <r>
      <rPr>
        <sz val="11"/>
        <color theme="1"/>
        <rFont val="Arial"/>
        <family val="2"/>
      </rPr>
      <t>Specifically tied to "strong AI-related demand" where shipments more than doubled year-over-year.</t>
    </r>
  </si>
  <si>
    <r>
      <rPr>
        <b/>
        <sz val="11"/>
        <color theme="1"/>
        <rFont val="Arial"/>
        <family val="2"/>
      </rPr>
      <t xml:space="preserve">"Vishay 3.0 success": </t>
    </r>
    <r>
      <rPr>
        <sz val="11"/>
        <color theme="1"/>
        <rFont val="Arial"/>
        <family val="2"/>
      </rPr>
      <t>Phrases like "building momentum" and "shared sense of purpose" indicate confidence in the new strategic transformation.</t>
    </r>
  </si>
  <si>
    <r>
      <rPr>
        <b/>
        <sz val="11"/>
        <color theme="1"/>
        <rFont val="Arial"/>
        <family val="2"/>
      </rPr>
      <t xml:space="preserve">"Land and expand": </t>
    </r>
    <r>
      <rPr>
        <sz val="11"/>
        <color theme="1"/>
        <rFont val="Arial"/>
        <family val="2"/>
      </rPr>
      <t>Management's term for gaining market share by leveraging their expanded capacity to win over customers facing supply risks with other vendors.</t>
    </r>
  </si>
  <si>
    <t>1. Intense Capital Expenditure Cycle: The company is in a period of peak investment, with planned CapEx of $400M–$440M for 2026 to fund the transition to 12-inch wafer production. This heavy spending is expected to result in negative free cash flow through the first half of 2026, which may pressure the stock price if execution lags.
2. Margin Drag from Underutilization: The integration of the Newport Wafer Fab is currently a headwind, creating a margin drag of approximately 130 basis points. Until the facility reaches optimal utilization rates in late 2026, it will continue to weigh on the company’s overall gross margin profile.
3. Exposure to Cyclical End Markets: Approximately 70% of Vishay’s revenue is derived from the Automotive and Industrial sectors. These markets are highly sensitive to global economic downturns, and any stall in the recovery of the "industrial heartland" or EV adoption could lead to significant revenue misses.
4. Pricing Pressure and Commodity Risk: As a manufacturer of discrete components, Vishay is susceptible to declining Average Selling Prices (ASPs) and fluctuating costs for raw materials like precious metals. Increased competition from Chinese manufacturers in the lower-end commodity space remains a persistent threat to margins.
5. Geopolitical and Supply Chain Vulnerability: With a significant manufacturing footprint in Europe and Asia, Vishay is exposed to risks from evolving tariff landscapes and geopolitical tensions. Specifically, the closure of legacy facilities in China and Germany as part of the "Vishay 3.0" restructuring carries execution risk regarding potential labor or supply disruptions.
6. "Long-Cycle" Revenue Realization: Similar to the Alight model, Vishay is a long-cycle business. A major design win in the automotive or aerospace sector can take 12 to 24 months to transition from the engineering phase to actual revenue, making it difficult for the company to pivot quickly in response to short-term market shifts.
7. Credit and Interest Rate Sensitivity: Rising leverage to fund capacity expansions led to a recent S&amp;P credit rating of 'BB'. Sustained high interest rates could increase the cost of servicing debt during this intensive investment phase.</t>
  </si>
  <si>
    <r>
      <rPr>
        <b/>
        <sz val="11"/>
        <color theme="1"/>
        <rFont val="Arial"/>
        <family val="2"/>
      </rPr>
      <t xml:space="preserve">"Holding pattern": </t>
    </r>
    <r>
      <rPr>
        <sz val="11"/>
        <color theme="1"/>
        <rFont val="Arial"/>
        <family val="2"/>
      </rPr>
      <t>Used to describe revenue for much of the fiscal year, indicating a lack of clear upward momentum during the inventory digestion phase.</t>
    </r>
  </si>
  <si>
    <r>
      <rPr>
        <b/>
        <sz val="11"/>
        <color theme="1"/>
        <rFont val="Arial"/>
        <family val="2"/>
      </rPr>
      <t xml:space="preserve">"Unfavorable product mix": </t>
    </r>
    <r>
      <rPr>
        <sz val="11"/>
        <color theme="1"/>
        <rFont val="Arial"/>
        <family val="2"/>
      </rPr>
      <t>A phrase cited as the primary driver for sequential declines in gross and operating margins.</t>
    </r>
  </si>
  <si>
    <r>
      <rPr>
        <b/>
        <sz val="11"/>
        <color theme="1"/>
        <rFont val="Arial"/>
        <family val="2"/>
      </rPr>
      <t xml:space="preserve">"Peak capital expenditures": </t>
    </r>
    <r>
      <rPr>
        <sz val="11"/>
        <color theme="1"/>
        <rFont val="Arial"/>
        <family val="2"/>
      </rPr>
      <t>Management noted that $400M–$440M in spending would lead to "negative free cash flow" in the near term, a point of clear financial concern for analysts.</t>
    </r>
  </si>
  <si>
    <r>
      <rPr>
        <b/>
        <sz val="11"/>
        <color theme="1"/>
        <rFont val="Arial"/>
        <family val="2"/>
      </rPr>
      <t xml:space="preserve">"Prolonged period of inventory digestion": </t>
    </r>
    <r>
      <rPr>
        <sz val="11"/>
        <color theme="1"/>
        <rFont val="Arial"/>
        <family val="2"/>
      </rPr>
      <t>A recurring phrase highlighting the difficulty of predicting the exact end of the industry-wide downturn.</t>
    </r>
  </si>
  <si>
    <r>
      <rPr>
        <b/>
        <sz val="11"/>
        <color theme="1"/>
        <rFont val="Arial"/>
        <family val="2"/>
      </rPr>
      <t xml:space="preserve">"Low Earth orbit satellite programs... mechanical supply chain issues": </t>
    </r>
    <r>
      <rPr>
        <sz val="11"/>
        <color theme="1"/>
        <rFont val="Arial"/>
        <family val="2"/>
      </rPr>
      <t>Mentioned as a specific challenge in the Aerospace/Defense segment that delayed billings.</t>
    </r>
  </si>
  <si>
    <r>
      <rPr>
        <b/>
        <sz val="11"/>
        <color theme="1"/>
        <rFont val="Arial"/>
        <family val="2"/>
      </rPr>
      <t xml:space="preserve">"Buybacks are unlikely in the near term": </t>
    </r>
    <r>
      <rPr>
        <sz val="11"/>
        <color theme="1"/>
        <rFont val="Arial"/>
        <family val="2"/>
      </rPr>
      <t>A direct response indicating caution regarding the balance sheet during the heavy investment phase.</t>
    </r>
  </si>
  <si>
    <r>
      <rPr>
        <b/>
        <sz val="11"/>
        <color theme="1"/>
        <rFont val="Arial"/>
        <family val="2"/>
      </rPr>
      <t>"Trailing 12-month line is still in the red":</t>
    </r>
    <r>
      <rPr>
        <sz val="11"/>
        <color theme="1"/>
        <rFont val="Arial"/>
        <family val="2"/>
      </rPr>
      <t xml:space="preserve"> Bearish analysts highlighted this to counter management’s optimism, pointing to persistent earnings pressure.</t>
    </r>
  </si>
  <si>
    <t>Downside Risk</t>
  </si>
  <si>
    <r>
      <rPr>
        <u/>
        <sz val="11"/>
        <color theme="1"/>
        <rFont val="Lato"/>
      </rPr>
      <t>Macro Risk</t>
    </r>
    <r>
      <rPr>
        <sz val="11"/>
        <color theme="1"/>
        <rFont val="Lato"/>
      </rPr>
      <t xml:space="preserve">
- Persistent Credit Rating Pressure: In mid-2025, S&amp;P Global downgraded Vishay to 'BB' with a negative outlook. The negative outlook captures the risk that free cash flow (FCF) will remain weak into 2027; if the company fails to rebound as projected, it faces a further downgrade to 'BB-', which would significantly increase its cost of capital.
- Weaponization of Supply Chains: 2026 geopolitical forecasts highlight a trend toward "weaponized" supply chains, specifically regarding EU/US dependencies on raw materials from China. Given Vishay's reliance on metals for passive components and its manufacturing footprint in Asia, sudden export restrictions on critical minerals remain a high-impact macro threat.
- Regulatory Inconsistency: New "Made in China" product standards taking effect in 2026 give domestic Chinese products a 20% discount in government procurement evaluations. This regulatory barrier could effectively "lock out" Vishay from key Chinese infrastructure projects.</t>
    </r>
  </si>
  <si>
    <r>
      <rPr>
        <u/>
        <sz val="11"/>
        <color theme="1"/>
        <rFont val="Lato"/>
      </rPr>
      <t>Execution Risk</t>
    </r>
    <r>
      <rPr>
        <sz val="11"/>
        <color theme="1"/>
        <rFont val="Lato"/>
      </rPr>
      <t xml:space="preserve">
- Extended Negative FCF Window: While previous reports hoped for a quicker recovery, current projections suggest Vishay will continue to generate negative free operating cash flow through fiscal 2026. Any delay in the "Vishay 3.0" investment goals could result in a prolonged cash burn that forces the company to reconsider its $0.40/share annual dividend.
- Advanced Manufacturing Talent Gap: As Vishay ramps up highly specialized facilities like the Newport Wafer Fab and the upcoming 12-inch fab in Germany, it faces a global skilled labor shortage. Failure to staff these plants with the necessary technical expertise could result in slower-than-anticipated production ramps and continued margin drag.
- "Zero-Sum" Capacity Competition: The 2026 semiconductor market is characterized by a "zero-sum" game where wafer and packaging capacity are being heavily reallocated toward AI GPUs and CPUs. This could disrupt Vishay’s access to the essential foundry services needed for its non-AI-related product lines.</t>
    </r>
  </si>
  <si>
    <r>
      <rPr>
        <u/>
        <sz val="11"/>
        <color theme="1"/>
        <rFont val="Lato"/>
      </rPr>
      <t>Competitive Risk</t>
    </r>
    <r>
      <rPr>
        <sz val="11"/>
        <color theme="1"/>
        <rFont val="Lato"/>
      </rPr>
      <t xml:space="preserve">
- Chinese Overcapacity Pressure: Chinese manufacturers are increasingly aggressive in global markets to offset their own domestic economic slowdown. This "overcapacity" is expected to flood the market with lower-cost discrete semiconductors and passive components, potentially forcing Vishay into a "price war" that erodes its current 19-6% gross margin.
- System Complexity Shift: By 2026, the industry is moving away from "routine procurement" toward application-specific, high-performance systems. If competitors like onsemi or Infineon integrate their components more effectively into validated reference designs for AI and EVs, Vishay’s "one-stop shop" for individual parts could lose its competitive edge.
- Agentic AI Disruption in Procurement: The rise of "Agentic AI" in 2026 allows competitors to use autonomous agents for supplier evaluation and risk monitoring in real-time. This technology could make it easier for customers to switch away from Vishay if an AI agent identifies a cheaper or more resilient alternative, challenging the historical "stickiness" of their design-in model.
</t>
    </r>
  </si>
  <si>
    <t>Catalysts</t>
  </si>
  <si>
    <t>- 12-Inch Wafer Production Ramp: Reaching full production status at new facilities in late 2026 to drive structural cost advantages.
- Inventory Normalization Completion: The full recovery of the distribution channel (56% of sales) as book-to-bill ratios sustain levels above 1.0.
- Balance Sheet De-leveraging: A shift back to positive free cash flow in late 2026 following the completion of peak fab investments.</t>
  </si>
  <si>
    <t>FY2017</t>
  </si>
  <si>
    <t>FY2018</t>
  </si>
  <si>
    <t>FY2019</t>
  </si>
  <si>
    <t>FY2020</t>
  </si>
  <si>
    <t>FY2021</t>
  </si>
  <si>
    <t>FY2022</t>
  </si>
  <si>
    <t>FY2023</t>
  </si>
  <si>
    <t>FY2024</t>
  </si>
  <si>
    <t>Q1-2025</t>
  </si>
  <si>
    <t>Q2-2025</t>
  </si>
  <si>
    <t>Q3-2025</t>
  </si>
  <si>
    <t>Q4-2025</t>
  </si>
  <si>
    <t>FY2025</t>
  </si>
  <si>
    <t>Q1-2026</t>
  </si>
  <si>
    <t>Q2-2026</t>
  </si>
  <si>
    <t>Q3-2026</t>
  </si>
  <si>
    <t>Q4-2026</t>
  </si>
  <si>
    <t>FY2026</t>
  </si>
  <si>
    <t>FY2027</t>
  </si>
  <si>
    <t>FY2028</t>
  </si>
  <si>
    <t>FY2029</t>
  </si>
  <si>
    <t>Income Statement</t>
  </si>
  <si>
    <t>Revenue</t>
  </si>
  <si>
    <t>COGS</t>
  </si>
  <si>
    <t>GrossProfit</t>
  </si>
  <si>
    <t>SG&amp;A</t>
  </si>
  <si>
    <t>R&amp;D</t>
  </si>
  <si>
    <t>Restructuring</t>
  </si>
  <si>
    <t>Impairment</t>
  </si>
  <si>
    <t>OpIncome</t>
  </si>
  <si>
    <t>IntExpense</t>
  </si>
  <si>
    <t>OtherInc</t>
  </si>
  <si>
    <t>PreTax</t>
  </si>
  <si>
    <t>Tax</t>
  </si>
  <si>
    <t>NetInc</t>
  </si>
  <si>
    <t>Growth &amp; Margins</t>
  </si>
  <si>
    <t>Revenue growth</t>
  </si>
  <si>
    <t>COGS margin</t>
  </si>
  <si>
    <t>Gross margin</t>
  </si>
  <si>
    <t>EBITDA margin</t>
  </si>
  <si>
    <t>Operating margin</t>
  </si>
  <si>
    <t>Net margin</t>
  </si>
  <si>
    <t>EPS</t>
  </si>
  <si>
    <t>Balance Sheet</t>
  </si>
  <si>
    <t>Current Assets</t>
  </si>
  <si>
    <t>Cash</t>
  </si>
  <si>
    <t>STInvest</t>
  </si>
  <si>
    <t>AR</t>
  </si>
  <si>
    <t>Inventory</t>
  </si>
  <si>
    <t>OtherCA</t>
  </si>
  <si>
    <t>TotalCA</t>
  </si>
  <si>
    <t>Non-Current Assets</t>
  </si>
  <si>
    <t>NetPPE</t>
  </si>
  <si>
    <t>Goodwill</t>
  </si>
  <si>
    <t>Intangibles</t>
  </si>
  <si>
    <t>Total Non-Current Assets</t>
  </si>
  <si>
    <t>TotalAssets</t>
  </si>
  <si>
    <t>Current Liabilities</t>
  </si>
  <si>
    <t>AP</t>
  </si>
  <si>
    <t>AccruedExp</t>
  </si>
  <si>
    <t>Total Non-Current liabilities</t>
  </si>
  <si>
    <t>TotalLiab</t>
  </si>
  <si>
    <t>Shareholders' Equity</t>
  </si>
  <si>
    <t>Equity</t>
  </si>
  <si>
    <t>Total Liabilities &amp; SE</t>
  </si>
  <si>
    <t>Cash Flow Statement</t>
  </si>
  <si>
    <t>CFO_NetInc</t>
  </si>
  <si>
    <t>D&amp;A</t>
  </si>
  <si>
    <t>CFO before WC</t>
  </si>
  <si>
    <t>NetCFO</t>
  </si>
  <si>
    <t>CFI</t>
  </si>
  <si>
    <t>CapEx</t>
  </si>
  <si>
    <t>NetCFI</t>
  </si>
  <si>
    <t>CFF</t>
  </si>
  <si>
    <t>Dividends</t>
  </si>
  <si>
    <t>Buybacks</t>
  </si>
  <si>
    <t>NetCFF</t>
  </si>
  <si>
    <t>Segment Analysis</t>
  </si>
  <si>
    <t>Revenue by Product Group ($M)</t>
  </si>
  <si>
    <t>Diodes</t>
  </si>
  <si>
    <t>Optoelectronics</t>
  </si>
  <si>
    <t>Total Revenue (Calculated)</t>
  </si>
  <si>
    <t>Revenue Mix %</t>
  </si>
  <si>
    <t>MOSFETs %</t>
  </si>
  <si>
    <t>Diodes %</t>
  </si>
  <si>
    <t>Opto %</t>
  </si>
  <si>
    <t>Resistors %</t>
  </si>
  <si>
    <t>Inductors %</t>
  </si>
  <si>
    <t>Capacitors %</t>
  </si>
  <si>
    <t>Segment Profitability (Gross Margin %)</t>
  </si>
  <si>
    <t>Semiconductors (MOSFETs, Diodes, Opto)</t>
  </si>
  <si>
    <t>Passive Components (Resistors, Inductors, Cap)</t>
  </si>
  <si>
    <t>PART I: REVENUE ANALYSIS</t>
  </si>
  <si>
    <t>Revenue by Channel (Recurring vs Project)</t>
  </si>
  <si>
    <t>Recurring Revenue %</t>
  </si>
  <si>
    <t>PART II: SEGMENT PROFITABILITY</t>
  </si>
  <si>
    <t>Semiconductors Segment</t>
  </si>
  <si>
    <t>Passive Components Segment</t>
  </si>
  <si>
    <t>TotalCL</t>
  </si>
  <si>
    <t>Non-Current Liabilities</t>
  </si>
  <si>
    <t>LT_Debt</t>
  </si>
  <si>
    <t>Date</t>
  </si>
  <si>
    <t>Year</t>
  </si>
  <si>
    <t>Growth</t>
  </si>
  <si>
    <t>Adj. EBITDA</t>
  </si>
  <si>
    <t>Margin</t>
  </si>
  <si>
    <t>EBIT</t>
  </si>
  <si>
    <t>Tax rate</t>
  </si>
  <si>
    <t>NOPAT</t>
  </si>
  <si>
    <t>NWC</t>
  </si>
  <si>
    <t>Capex</t>
  </si>
  <si>
    <t>Unlevered FCF</t>
  </si>
  <si>
    <t>Present Value of Unlevered FCF</t>
  </si>
  <si>
    <t>Discount factor</t>
  </si>
  <si>
    <t>2027 FCF</t>
  </si>
  <si>
    <t>2028 FCF</t>
  </si>
  <si>
    <t>WACC</t>
  </si>
  <si>
    <t>Long term growth rate (g)</t>
  </si>
  <si>
    <t xml:space="preserve">Terminal Value </t>
  </si>
  <si>
    <t>Present Value of Terminal Value</t>
  </si>
  <si>
    <t>Present Value of Forecast Period CFs</t>
  </si>
  <si>
    <t xml:space="preserve">Enterprise value </t>
  </si>
  <si>
    <t>Implied TV exit EBITDA multiple</t>
  </si>
  <si>
    <t>Total Debt</t>
  </si>
  <si>
    <t>Net debt</t>
  </si>
  <si>
    <t>Equity Value</t>
  </si>
  <si>
    <t>Shares Outstanding</t>
  </si>
  <si>
    <t>Price per share</t>
  </si>
  <si>
    <t>Upside/Downside</t>
  </si>
  <si>
    <t>As of:</t>
  </si>
  <si>
    <t>Comparable Analysis</t>
  </si>
  <si>
    <t>USD</t>
  </si>
  <si>
    <t>1Yr</t>
  </si>
  <si>
    <t>EV / EBITDA</t>
  </si>
  <si>
    <t>P/E</t>
  </si>
  <si>
    <t>Last</t>
  </si>
  <si>
    <t>Market</t>
  </si>
  <si>
    <t>% Chg</t>
  </si>
  <si>
    <t>Sales</t>
  </si>
  <si>
    <t>Dvd</t>
  </si>
  <si>
    <t xml:space="preserve">Ticker </t>
  </si>
  <si>
    <t>Name</t>
  </si>
  <si>
    <t>Price</t>
  </si>
  <si>
    <t>Cap</t>
  </si>
  <si>
    <t>EV</t>
  </si>
  <si>
    <t>YTD</t>
  </si>
  <si>
    <t>GR</t>
  </si>
  <si>
    <t>Crnt Yr</t>
  </si>
  <si>
    <t>NY</t>
  </si>
  <si>
    <t>T12M</t>
  </si>
  <si>
    <t>Yield</t>
  </si>
  <si>
    <t>DIOD</t>
  </si>
  <si>
    <t>Diodes Incorporated</t>
  </si>
  <si>
    <t>N.A.</t>
  </si>
  <si>
    <t>LFUS</t>
  </si>
  <si>
    <t>Littelfuse</t>
  </si>
  <si>
    <t>ON</t>
  </si>
  <si>
    <t>ON Semiconductor</t>
  </si>
  <si>
    <t>TTDKY</t>
  </si>
  <si>
    <t>TDK Corporation</t>
  </si>
  <si>
    <t>ROHCY</t>
  </si>
  <si>
    <t>ROHM Semiconductor</t>
  </si>
  <si>
    <t>Comp Group Average</t>
  </si>
  <si>
    <t>Comp Group Median</t>
  </si>
  <si>
    <t>VSH</t>
  </si>
  <si>
    <t>Vishay Intertechnology</t>
  </si>
  <si>
    <t>Precedent Transaction Analysis</t>
  </si>
  <si>
    <t>Seller</t>
  </si>
  <si>
    <t>Acquirer</t>
  </si>
  <si>
    <t>Terms</t>
  </si>
  <si>
    <t>Multiple</t>
  </si>
  <si>
    <t>ROHM Co. (95.2% stake)</t>
  </si>
  <si>
    <t>DENSO Corp.</t>
  </si>
  <si>
    <t>All-Cash</t>
  </si>
  <si>
    <t>~16.1x</t>
  </si>
  <si>
    <t>C&amp;K Switches</t>
  </si>
  <si>
    <t>Littelfuse, Inc.</t>
  </si>
  <si>
    <t>~12.5x</t>
  </si>
  <si>
    <t>GT Advanced Tech.</t>
  </si>
  <si>
    <t>onsemi</t>
  </si>
  <si>
    <t>N/A (Asset Buy)</t>
  </si>
  <si>
    <t>Lite-On Semi</t>
  </si>
  <si>
    <t>Diodes Inc.</t>
  </si>
  <si>
    <t>~11.8x</t>
  </si>
  <si>
    <t>Ametherm</t>
  </si>
  <si>
    <t>Vishay Intertech.</t>
  </si>
  <si>
    <t>~9.5x</t>
  </si>
  <si>
    <t xml:space="preserve">Vishay Intertechnology (NYSE: VSH) </t>
  </si>
  <si>
    <t>Share Price (as of 4/8/26)</t>
  </si>
  <si>
    <t>Shares Out.</t>
  </si>
  <si>
    <t>Market Cap</t>
  </si>
  <si>
    <t>Debt</t>
  </si>
  <si>
    <t>TEV</t>
  </si>
  <si>
    <t>FY24 EBITDA</t>
  </si>
  <si>
    <t>EV / FY24 EBITDA</t>
  </si>
  <si>
    <t>Base Case Valuation Summary:</t>
  </si>
  <si>
    <t>FY27 EBITDA:</t>
  </si>
  <si>
    <t>Target Multiple</t>
  </si>
  <si>
    <t>Net Debt</t>
  </si>
  <si>
    <t>3-Year Price Target</t>
  </si>
  <si>
    <t>Total Return:</t>
  </si>
  <si>
    <t>IRR</t>
  </si>
  <si>
    <t>DCF Valuation</t>
  </si>
  <si>
    <t>Blended PT:</t>
  </si>
  <si>
    <t>Base</t>
  </si>
  <si>
    <t>Bull</t>
  </si>
  <si>
    <t>Bear</t>
  </si>
  <si>
    <t>3yr Growth</t>
  </si>
  <si>
    <t>FCF</t>
  </si>
  <si>
    <t>Conversion</t>
  </si>
  <si>
    <t>EBITDA Multiple</t>
  </si>
  <si>
    <t>Sh. Out.</t>
  </si>
  <si>
    <t>Price Target</t>
  </si>
  <si>
    <t>Risk/Reward vs Bear Case</t>
  </si>
  <si>
    <t>2021A</t>
  </si>
  <si>
    <t>2022A</t>
  </si>
  <si>
    <t>2023A</t>
  </si>
  <si>
    <t>2024A</t>
  </si>
  <si>
    <t>2025E</t>
  </si>
  <si>
    <t>2026E</t>
  </si>
  <si>
    <t>2027E</t>
  </si>
  <si>
    <t>2028E</t>
  </si>
  <si>
    <t>2029E</t>
  </si>
  <si>
    <t>Gross Profit</t>
  </si>
  <si>
    <t>EBITDA</t>
  </si>
  <si>
    <t>Operating Income</t>
  </si>
  <si>
    <t>Interest Expense</t>
  </si>
  <si>
    <t>EBT</t>
  </si>
  <si>
    <t>Net Income</t>
  </si>
  <si>
    <t>Net Leverage</t>
  </si>
  <si>
    <t>Share Price History (ALIT US Equity)</t>
  </si>
  <si>
    <t>Discounted Cash Flow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</si>
</sst>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7" formatCode="&quot;$&quot;#,##0.00_);\(&quot;$&quot;#,##0.00\)"/>
    <numFmt numFmtId="44" formatCode="_(&quot;$&quot;* #,##0.00_);_(&quot;$&quot;* \(#,##0.00\);_(&quot;$&quot;* &quot;-&quot;??_);_(@_)"/>
    <numFmt numFmtId="164" formatCode="_(* #,##0.0_);_(* \(#,##0.0\);_(* &quot;-&quot;??_);_(&quot;Real-Time Stock Price :   &quot;@_)"/>
    <numFmt numFmtId="165" formatCode="_(* #,##0.0_);_(* \(#,##0.0\);_(* &quot;-&quot;??_);_(&quot;Model Sheet Currency :   &quot;@_)"/>
    <numFmt numFmtId="166" formatCode="_(* #,##0_);_(* \(#,##0\);_(* &quot;-&quot;??_);_(@_)"/>
    <numFmt numFmtId="167" formatCode="_(* #,##0.0_);_(* \(#,##0.0\);_(* &quot;-&quot;??_);_(@_)"/>
    <numFmt numFmtId="168" formatCode="0\A"/>
    <numFmt numFmtId="169" formatCode="0&quot;E&quot;"/>
    <numFmt numFmtId="170" formatCode="&quot;$&quot;#,##0"/>
    <numFmt numFmtId="171" formatCode="0.0%"/>
    <numFmt numFmtId="172" formatCode="0.0"/>
    <numFmt numFmtId="173" formatCode="0.0\x_);\(0.0\x\);@_)"/>
    <numFmt numFmtId="174" formatCode="0.000"/>
    <numFmt numFmtId="175" formatCode="mm\-dd\-yyyy"/>
    <numFmt numFmtId="176" formatCode="&quot;$&quot;#,##0.00"/>
    <numFmt numFmtId="177" formatCode="&quot;$&quot;#,##0.0_);\(&quot;$&quot;#,##0.0\)"/>
    <numFmt numFmtId="178" formatCode="##.0&quot;x&quot;"/>
    <numFmt numFmtId="179" formatCode="_(&quot;$&quot;* #,##0.0_);_(&quot;$&quot;* \(#,##0.0\);_(&quot;$&quot;* &quot;-&quot;??_);_(@_)"/>
    <numFmt numFmtId="180" formatCode="mmm\ yyyy"/>
    <numFmt numFmtId="181" formatCode="#,#00.0"/>
    <numFmt numFmtId="182" formatCode="#,#00"/>
    <numFmt numFmtId="183" formatCode="0.0\x"/>
    <numFmt numFmtId="184" formatCode="m/d/yyyy"/>
  </numFmts>
  <fonts count="37">
    <font>
      <sz val="11"/>
      <color theme="1"/>
      <name val="Aptos Narrow"/>
      <scheme val="minor"/>
    </font>
    <font>
      <b/>
      <sz val="11"/>
      <color theme="1"/>
      <name val="Aptos Narrow"/>
    </font>
    <font>
      <sz val="11"/>
      <color theme="1"/>
      <name val="Aptos Narrow"/>
    </font>
    <font>
      <sz val="11"/>
      <name val="Aptos Narrow"/>
    </font>
    <font>
      <sz val="11"/>
      <color theme="1"/>
      <name val="Lato"/>
    </font>
    <font>
      <sz val="14"/>
      <color theme="1"/>
      <name val="Lato"/>
    </font>
    <font>
      <b/>
      <sz val="14"/>
      <color theme="1"/>
      <name val="Lato"/>
    </font>
    <font>
      <sz val="11"/>
      <color rgb="FF1F1F1F"/>
      <name val="Arial"/>
      <family val="2"/>
    </font>
    <font>
      <sz val="11"/>
      <color rgb="FF1F1F1F"/>
      <name val="&quot;Google Sans Text&quot;"/>
    </font>
    <font>
      <b/>
      <sz val="11"/>
      <color rgb="FF1F1F1F"/>
      <name val="&quot;Google Sans Text&quot;"/>
    </font>
    <font>
      <sz val="11"/>
      <color theme="1"/>
      <name val="Arial"/>
      <family val="2"/>
    </font>
    <font>
      <sz val="11"/>
      <color theme="10"/>
      <name val="Lato"/>
    </font>
    <font>
      <sz val="11"/>
      <color theme="1"/>
      <name val="Lato"/>
    </font>
    <font>
      <u/>
      <sz val="11"/>
      <color theme="10"/>
      <name val="Lato"/>
    </font>
    <font>
      <b/>
      <sz val="11"/>
      <color theme="1"/>
      <name val="Arial"/>
      <family val="2"/>
    </font>
    <font>
      <b/>
      <sz val="11"/>
      <color theme="1"/>
      <name val="Aptos Narrow"/>
      <scheme val="minor"/>
    </font>
    <font>
      <b/>
      <sz val="11"/>
      <color theme="1"/>
      <name val="Lato"/>
    </font>
    <font>
      <sz val="11"/>
      <color rgb="FF000000"/>
      <name val="Arial"/>
      <family val="2"/>
    </font>
    <font>
      <b/>
      <i/>
      <sz val="11"/>
      <color theme="1"/>
      <name val="Arial"/>
      <family val="2"/>
    </font>
    <font>
      <sz val="11"/>
      <color theme="1"/>
      <name val="Aptos Narrow"/>
      <scheme val="minor"/>
    </font>
    <font>
      <i/>
      <sz val="9"/>
      <color theme="1"/>
      <name val="Arial"/>
      <family val="2"/>
    </font>
    <font>
      <i/>
      <sz val="9"/>
      <color theme="1"/>
      <name val="Aptos Narrow"/>
    </font>
    <font>
      <i/>
      <sz val="11"/>
      <color theme="1"/>
      <name val="Lato"/>
    </font>
    <font>
      <i/>
      <sz val="11"/>
      <color theme="1"/>
      <name val="Lato"/>
    </font>
    <font>
      <sz val="11"/>
      <color rgb="FF0000FC"/>
      <name val="Lato"/>
    </font>
    <font>
      <sz val="11"/>
      <color rgb="FF0000FF"/>
      <name val="Lato"/>
    </font>
    <font>
      <b/>
      <sz val="11"/>
      <color theme="1"/>
      <name val="Lato"/>
    </font>
    <font>
      <b/>
      <u/>
      <sz val="11"/>
      <color theme="1"/>
      <name val="Arial"/>
      <family val="2"/>
    </font>
    <font>
      <sz val="11"/>
      <color theme="1"/>
      <name val="Arial"/>
      <family val="2"/>
    </font>
    <font>
      <sz val="11"/>
      <color rgb="FF0000FC"/>
      <name val="Aptos Narrow"/>
    </font>
    <font>
      <i/>
      <sz val="11"/>
      <color theme="1"/>
      <name val="Aptos Narrow"/>
    </font>
    <font>
      <b/>
      <sz val="9"/>
      <color theme="1"/>
      <name val="Arial"/>
      <family val="2"/>
    </font>
    <font>
      <sz val="9"/>
      <color theme="1"/>
      <name val="Aptos Narrow"/>
    </font>
    <font>
      <b/>
      <sz val="11"/>
      <color rgb="FFFFFFFF"/>
      <name val="Calibri"/>
      <family val="2"/>
    </font>
    <font>
      <sz val="11"/>
      <color rgb="FF000000"/>
      <name val="&quot;GT America&quot;"/>
    </font>
    <font>
      <b/>
      <sz val="11"/>
      <color rgb="FF000000"/>
      <name val="&quot;GT America&quot;"/>
    </font>
    <font>
      <u/>
      <sz val="11"/>
      <color theme="1"/>
      <name val="Lato"/>
    </font>
  </fonts>
  <fills count="12">
    <fill>
      <patternFill patternType="none"/>
    </fill>
    <fill>
      <patternFill patternType="gray125"/>
    </fill>
    <fill>
      <patternFill patternType="solid">
        <fgColor rgb="FFC9DAF8"/>
        <bgColor rgb="FFC9DAF8"/>
      </patternFill>
    </fill>
    <fill>
      <patternFill patternType="solid">
        <fgColor rgb="FFFFFFFF"/>
        <bgColor rgb="FFFFFFFF"/>
      </patternFill>
    </fill>
    <fill>
      <patternFill patternType="solid">
        <fgColor rgb="FFF2F2F2"/>
        <bgColor rgb="FFF2F2F2"/>
      </patternFill>
    </fill>
    <fill>
      <patternFill patternType="solid">
        <fgColor rgb="FFD9F2D0"/>
        <bgColor rgb="FFD9F2D0"/>
      </patternFill>
    </fill>
    <fill>
      <patternFill patternType="solid">
        <fgColor rgb="FFCAEDFB"/>
        <bgColor rgb="FFCAEDFB"/>
      </patternFill>
    </fill>
    <fill>
      <patternFill patternType="solid">
        <fgColor rgb="FFCFE2F3"/>
        <bgColor rgb="FFCFE2F3"/>
      </patternFill>
    </fill>
    <fill>
      <patternFill patternType="solid">
        <fgColor rgb="FFD8D8D8"/>
        <bgColor rgb="FFD8D8D8"/>
      </patternFill>
    </fill>
    <fill>
      <patternFill patternType="solid">
        <fgColor rgb="FFEAD1DC"/>
        <bgColor rgb="FFEAD1DC"/>
      </patternFill>
    </fill>
    <fill>
      <patternFill patternType="solid">
        <fgColor rgb="FFA5A5A5"/>
        <bgColor rgb="FFA5A5A5"/>
      </patternFill>
    </fill>
    <fill>
      <patternFill patternType="solid">
        <fgColor rgb="FF4F81BD"/>
        <bgColor rgb="FF4F81BD"/>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ck">
        <color rgb="FF000000"/>
      </right>
      <top/>
      <bottom/>
      <diagonal/>
    </border>
    <border>
      <left/>
      <right/>
      <top/>
      <bottom/>
      <diagonal/>
    </border>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216">
    <xf numFmtId="0" fontId="0" fillId="0" borderId="0" xfId="0"/>
    <xf numFmtId="0" fontId="4" fillId="0" borderId="0" xfId="0" applyFont="1"/>
    <xf numFmtId="0" fontId="5" fillId="0" borderId="0" xfId="0" applyFont="1" applyAlignment="1">
      <alignment horizontal="center" wrapText="1"/>
    </xf>
    <xf numFmtId="0" fontId="6" fillId="2" borderId="1" xfId="0" applyFont="1" applyFill="1" applyBorder="1" applyAlignment="1">
      <alignment horizontal="center" wrapText="1"/>
    </xf>
    <xf numFmtId="0" fontId="11" fillId="0" borderId="0" xfId="0" applyFont="1"/>
    <xf numFmtId="0" fontId="12" fillId="0" borderId="0" xfId="0" applyFont="1" applyAlignment="1">
      <alignment vertical="top" wrapText="1"/>
    </xf>
    <xf numFmtId="0" fontId="13" fillId="0" borderId="0" xfId="0" applyFont="1"/>
    <xf numFmtId="164" fontId="2" fillId="3" borderId="16" xfId="0" applyNumberFormat="1" applyFont="1" applyFill="1" applyBorder="1"/>
    <xf numFmtId="0" fontId="2" fillId="3" borderId="16" xfId="0" applyFont="1" applyFill="1" applyBorder="1"/>
    <xf numFmtId="17" fontId="18" fillId="4" borderId="16" xfId="0" applyNumberFormat="1" applyFont="1" applyFill="1" applyBorder="1" applyAlignment="1">
      <alignment horizontal="center"/>
    </xf>
    <xf numFmtId="17" fontId="18" fillId="4" borderId="17" xfId="0" applyNumberFormat="1" applyFont="1" applyFill="1" applyBorder="1" applyAlignment="1">
      <alignment horizontal="center"/>
    </xf>
    <xf numFmtId="17" fontId="18" fillId="3" borderId="16" xfId="0" applyNumberFormat="1" applyFont="1" applyFill="1" applyBorder="1" applyAlignment="1">
      <alignment horizontal="center"/>
    </xf>
    <xf numFmtId="0" fontId="2" fillId="3" borderId="0" xfId="0" applyFont="1" applyFill="1"/>
    <xf numFmtId="165" fontId="2" fillId="3" borderId="16" xfId="0" applyNumberFormat="1" applyFont="1" applyFill="1" applyBorder="1"/>
    <xf numFmtId="0" fontId="14" fillId="5" borderId="16" xfId="0" applyFont="1" applyFill="1" applyBorder="1" applyAlignment="1">
      <alignment horizontal="center"/>
    </xf>
    <xf numFmtId="0" fontId="14" fillId="5" borderId="17" xfId="0" applyFont="1" applyFill="1" applyBorder="1" applyAlignment="1">
      <alignment horizontal="center"/>
    </xf>
    <xf numFmtId="166" fontId="14" fillId="6" borderId="16" xfId="0" applyNumberFormat="1" applyFont="1" applyFill="1" applyBorder="1"/>
    <xf numFmtId="0" fontId="2" fillId="6" borderId="16" xfId="0" applyFont="1" applyFill="1" applyBorder="1"/>
    <xf numFmtId="0" fontId="2" fillId="4" borderId="16" xfId="0" applyFont="1" applyFill="1" applyBorder="1"/>
    <xf numFmtId="0" fontId="2" fillId="4" borderId="17" xfId="0" applyFont="1" applyFill="1" applyBorder="1"/>
    <xf numFmtId="167" fontId="2" fillId="3" borderId="16" xfId="0" applyNumberFormat="1" applyFont="1" applyFill="1" applyBorder="1"/>
    <xf numFmtId="167" fontId="2" fillId="4" borderId="16" xfId="0" applyNumberFormat="1" applyFont="1" applyFill="1" applyBorder="1"/>
    <xf numFmtId="0" fontId="19" fillId="0" borderId="0" xfId="0" applyFont="1"/>
    <xf numFmtId="0" fontId="19" fillId="0" borderId="8" xfId="0" applyFont="1" applyBorder="1"/>
    <xf numFmtId="10" fontId="19" fillId="0" borderId="0" xfId="0" applyNumberFormat="1" applyFont="1"/>
    <xf numFmtId="167" fontId="2" fillId="4" borderId="17" xfId="0" applyNumberFormat="1" applyFont="1" applyFill="1" applyBorder="1"/>
    <xf numFmtId="0" fontId="2" fillId="0" borderId="0" xfId="0" applyFont="1"/>
    <xf numFmtId="0" fontId="14" fillId="7" borderId="16" xfId="0" applyFont="1" applyFill="1" applyBorder="1"/>
    <xf numFmtId="0" fontId="2" fillId="7" borderId="16" xfId="0" applyFont="1" applyFill="1" applyBorder="1"/>
    <xf numFmtId="167" fontId="2" fillId="7" borderId="16" xfId="0" applyNumberFormat="1" applyFont="1" applyFill="1" applyBorder="1"/>
    <xf numFmtId="167" fontId="2" fillId="7" borderId="17" xfId="0" applyNumberFormat="1" applyFont="1" applyFill="1" applyBorder="1"/>
    <xf numFmtId="0" fontId="1" fillId="0" borderId="0" xfId="0" applyFont="1"/>
    <xf numFmtId="0" fontId="10" fillId="3" borderId="0" xfId="0" applyFont="1" applyFill="1"/>
    <xf numFmtId="0" fontId="10" fillId="3" borderId="16" xfId="0" applyFont="1" applyFill="1" applyBorder="1"/>
    <xf numFmtId="0" fontId="12" fillId="3" borderId="16" xfId="0" applyFont="1" applyFill="1" applyBorder="1"/>
    <xf numFmtId="14" fontId="20" fillId="3" borderId="16" xfId="0" applyNumberFormat="1" applyFont="1" applyFill="1" applyBorder="1" applyAlignment="1">
      <alignment horizontal="right"/>
    </xf>
    <xf numFmtId="14" fontId="21" fillId="3" borderId="16" xfId="0" applyNumberFormat="1" applyFont="1" applyFill="1" applyBorder="1" applyAlignment="1">
      <alignment horizontal="right"/>
    </xf>
    <xf numFmtId="0" fontId="12" fillId="3" borderId="21" xfId="0" applyFont="1" applyFill="1" applyBorder="1"/>
    <xf numFmtId="168" fontId="10" fillId="3" borderId="21" xfId="0" applyNumberFormat="1" applyFont="1" applyFill="1" applyBorder="1" applyAlignment="1">
      <alignment horizontal="right"/>
    </xf>
    <xf numFmtId="169" fontId="10" fillId="3" borderId="21" xfId="0" applyNumberFormat="1" applyFont="1" applyFill="1" applyBorder="1" applyAlignment="1">
      <alignment horizontal="right"/>
    </xf>
    <xf numFmtId="170" fontId="12" fillId="3" borderId="16" xfId="0" applyNumberFormat="1" applyFont="1" applyFill="1" applyBorder="1" applyAlignment="1">
      <alignment horizontal="right"/>
    </xf>
    <xf numFmtId="171" fontId="22" fillId="3" borderId="16" xfId="0" applyNumberFormat="1" applyFont="1" applyFill="1" applyBorder="1"/>
    <xf numFmtId="171" fontId="10" fillId="3" borderId="16" xfId="0" applyNumberFormat="1" applyFont="1" applyFill="1" applyBorder="1"/>
    <xf numFmtId="171" fontId="22" fillId="3" borderId="16" xfId="0" applyNumberFormat="1" applyFont="1" applyFill="1" applyBorder="1" applyAlignment="1">
      <alignment horizontal="right"/>
    </xf>
    <xf numFmtId="170" fontId="10" fillId="3" borderId="16" xfId="0" applyNumberFormat="1" applyFont="1" applyFill="1" applyBorder="1"/>
    <xf numFmtId="172" fontId="23" fillId="3" borderId="16" xfId="0" applyNumberFormat="1" applyFont="1" applyFill="1" applyBorder="1" applyAlignment="1">
      <alignment horizontal="right"/>
    </xf>
    <xf numFmtId="171" fontId="24" fillId="3" borderId="16" xfId="0" applyNumberFormat="1" applyFont="1" applyFill="1" applyBorder="1" applyAlignment="1">
      <alignment horizontal="right"/>
    </xf>
    <xf numFmtId="171" fontId="25" fillId="3" borderId="16" xfId="0" applyNumberFormat="1" applyFont="1" applyFill="1" applyBorder="1" applyAlignment="1">
      <alignment horizontal="right"/>
    </xf>
    <xf numFmtId="170" fontId="12" fillId="3" borderId="21" xfId="0" applyNumberFormat="1" applyFont="1" applyFill="1" applyBorder="1" applyAlignment="1">
      <alignment horizontal="right"/>
    </xf>
    <xf numFmtId="0" fontId="26" fillId="3" borderId="16" xfId="0" applyFont="1" applyFill="1" applyBorder="1"/>
    <xf numFmtId="0" fontId="23" fillId="3" borderId="16" xfId="0" applyFont="1" applyFill="1" applyBorder="1"/>
    <xf numFmtId="173" fontId="23" fillId="3" borderId="16" xfId="0" applyNumberFormat="1" applyFont="1" applyFill="1" applyBorder="1" applyAlignment="1">
      <alignment horizontal="right"/>
    </xf>
    <xf numFmtId="37" fontId="25" fillId="3" borderId="16" xfId="0" applyNumberFormat="1" applyFont="1" applyFill="1" applyBorder="1" applyAlignment="1">
      <alignment horizontal="right"/>
    </xf>
    <xf numFmtId="37" fontId="25" fillId="3" borderId="21" xfId="0" applyNumberFormat="1" applyFont="1" applyFill="1" applyBorder="1" applyAlignment="1">
      <alignment horizontal="right"/>
    </xf>
    <xf numFmtId="0" fontId="26" fillId="3" borderId="21" xfId="0" applyFont="1" applyFill="1" applyBorder="1"/>
    <xf numFmtId="37" fontId="26" fillId="3" borderId="21" xfId="0" applyNumberFormat="1" applyFont="1" applyFill="1" applyBorder="1" applyAlignment="1">
      <alignment horizontal="right"/>
    </xf>
    <xf numFmtId="174" fontId="12" fillId="3" borderId="21" xfId="0" applyNumberFormat="1" applyFont="1" applyFill="1" applyBorder="1" applyAlignment="1">
      <alignment horizontal="right"/>
    </xf>
    <xf numFmtId="44" fontId="12" fillId="3" borderId="16" xfId="0" applyNumberFormat="1" applyFont="1" applyFill="1" applyBorder="1" applyAlignment="1">
      <alignment horizontal="right"/>
    </xf>
    <xf numFmtId="171" fontId="12" fillId="3" borderId="16" xfId="0" applyNumberFormat="1" applyFont="1" applyFill="1" applyBorder="1" applyAlignment="1">
      <alignment horizontal="right"/>
    </xf>
    <xf numFmtId="0" fontId="10" fillId="0" borderId="0" xfId="0" applyFont="1"/>
    <xf numFmtId="0" fontId="12" fillId="3" borderId="16" xfId="0" applyFont="1" applyFill="1" applyBorder="1" applyAlignment="1">
      <alignment horizontal="right"/>
    </xf>
    <xf numFmtId="175" fontId="12" fillId="3" borderId="16" xfId="0" applyNumberFormat="1" applyFont="1" applyFill="1" applyBorder="1"/>
    <xf numFmtId="14" fontId="10" fillId="3" borderId="16" xfId="0" applyNumberFormat="1" applyFont="1" applyFill="1" applyBorder="1"/>
    <xf numFmtId="0" fontId="6" fillId="3" borderId="16" xfId="0" applyFont="1" applyFill="1" applyBorder="1"/>
    <xf numFmtId="0" fontId="10" fillId="8" borderId="16" xfId="0" applyFont="1" applyFill="1" applyBorder="1"/>
    <xf numFmtId="0" fontId="16" fillId="8" borderId="16" xfId="0" applyFont="1" applyFill="1" applyBorder="1" applyAlignment="1">
      <alignment horizontal="center" wrapText="1"/>
    </xf>
    <xf numFmtId="0" fontId="16" fillId="8" borderId="27" xfId="0" applyFont="1" applyFill="1" applyBorder="1" applyAlignment="1">
      <alignment horizontal="center" wrapText="1"/>
    </xf>
    <xf numFmtId="0" fontId="19" fillId="3" borderId="0" xfId="0" applyFont="1" applyFill="1"/>
    <xf numFmtId="176" fontId="19" fillId="3" borderId="0" xfId="0" applyNumberFormat="1" applyFont="1" applyFill="1"/>
    <xf numFmtId="176" fontId="10" fillId="3" borderId="0" xfId="0" applyNumberFormat="1" applyFont="1" applyFill="1"/>
    <xf numFmtId="10" fontId="10" fillId="3" borderId="0" xfId="0" applyNumberFormat="1" applyFont="1" applyFill="1"/>
    <xf numFmtId="0" fontId="10" fillId="3" borderId="0" xfId="0" applyFont="1" applyFill="1" applyAlignment="1">
      <alignment horizontal="right"/>
    </xf>
    <xf numFmtId="0" fontId="10" fillId="3" borderId="20" xfId="0" applyFont="1" applyFill="1" applyBorder="1"/>
    <xf numFmtId="7" fontId="19" fillId="3" borderId="0" xfId="0" applyNumberFormat="1" applyFont="1" applyFill="1"/>
    <xf numFmtId="177" fontId="10" fillId="3" borderId="0" xfId="0" applyNumberFormat="1" applyFont="1" applyFill="1"/>
    <xf numFmtId="178" fontId="10" fillId="3" borderId="0" xfId="0" applyNumberFormat="1" applyFont="1" applyFill="1"/>
    <xf numFmtId="171" fontId="10" fillId="3" borderId="0" xfId="0" applyNumberFormat="1" applyFont="1" applyFill="1"/>
    <xf numFmtId="7" fontId="10" fillId="0" borderId="0" xfId="0" applyNumberFormat="1" applyFont="1"/>
    <xf numFmtId="10" fontId="10" fillId="0" borderId="0" xfId="0" applyNumberFormat="1" applyFont="1"/>
    <xf numFmtId="0" fontId="10" fillId="6" borderId="28" xfId="0" applyFont="1" applyFill="1" applyBorder="1"/>
    <xf numFmtId="0" fontId="12" fillId="6" borderId="28" xfId="0" applyFont="1" applyFill="1" applyBorder="1" applyAlignment="1">
      <alignment wrapText="1"/>
    </xf>
    <xf numFmtId="176" fontId="12" fillId="6" borderId="28" xfId="0" applyNumberFormat="1" applyFont="1" applyFill="1" applyBorder="1" applyAlignment="1">
      <alignment horizontal="right" wrapText="1"/>
    </xf>
    <xf numFmtId="10" fontId="12" fillId="6" borderId="28" xfId="0" applyNumberFormat="1" applyFont="1" applyFill="1" applyBorder="1" applyAlignment="1">
      <alignment horizontal="right" wrapText="1"/>
    </xf>
    <xf numFmtId="176" fontId="12" fillId="6" borderId="28" xfId="0" applyNumberFormat="1" applyFont="1" applyFill="1" applyBorder="1" applyAlignment="1">
      <alignment horizontal="center" wrapText="1"/>
    </xf>
    <xf numFmtId="178" fontId="12" fillId="6" borderId="28" xfId="0" applyNumberFormat="1" applyFont="1" applyFill="1" applyBorder="1" applyAlignment="1">
      <alignment horizontal="right" wrapText="1"/>
    </xf>
    <xf numFmtId="171" fontId="12" fillId="6" borderId="28" xfId="0" applyNumberFormat="1" applyFont="1" applyFill="1" applyBorder="1" applyAlignment="1">
      <alignment horizontal="right" wrapText="1"/>
    </xf>
    <xf numFmtId="0" fontId="10" fillId="6" borderId="16" xfId="0" applyFont="1" applyFill="1" applyBorder="1"/>
    <xf numFmtId="0" fontId="12" fillId="6" borderId="16" xfId="0" applyFont="1" applyFill="1" applyBorder="1" applyAlignment="1">
      <alignment wrapText="1"/>
    </xf>
    <xf numFmtId="177" fontId="12" fillId="6" borderId="16" xfId="0" applyNumberFormat="1" applyFont="1" applyFill="1" applyBorder="1" applyAlignment="1">
      <alignment horizontal="center" wrapText="1"/>
    </xf>
    <xf numFmtId="9" fontId="12" fillId="6" borderId="16" xfId="0" applyNumberFormat="1" applyFont="1" applyFill="1" applyBorder="1" applyAlignment="1">
      <alignment horizontal="right" wrapText="1"/>
    </xf>
    <xf numFmtId="10" fontId="12" fillId="6" borderId="16" xfId="0" applyNumberFormat="1" applyFont="1" applyFill="1" applyBorder="1" applyAlignment="1">
      <alignment horizontal="right" wrapText="1"/>
    </xf>
    <xf numFmtId="178" fontId="12" fillId="6" borderId="16" xfId="0" applyNumberFormat="1" applyFont="1" applyFill="1" applyBorder="1" applyAlignment="1">
      <alignment horizontal="right" wrapText="1"/>
    </xf>
    <xf numFmtId="171" fontId="12" fillId="6" borderId="16" xfId="0" applyNumberFormat="1" applyFont="1" applyFill="1" applyBorder="1" applyAlignment="1">
      <alignment horizontal="right" wrapText="1"/>
    </xf>
    <xf numFmtId="2" fontId="10" fillId="3" borderId="16" xfId="0" applyNumberFormat="1" applyFont="1" applyFill="1" applyBorder="1"/>
    <xf numFmtId="177" fontId="10" fillId="3" borderId="16" xfId="0" applyNumberFormat="1" applyFont="1" applyFill="1" applyBorder="1"/>
    <xf numFmtId="9" fontId="10" fillId="3" borderId="16" xfId="0" applyNumberFormat="1" applyFont="1" applyFill="1" applyBorder="1"/>
    <xf numFmtId="179" fontId="10" fillId="3" borderId="16" xfId="0" applyNumberFormat="1" applyFont="1" applyFill="1" applyBorder="1"/>
    <xf numFmtId="178" fontId="10" fillId="3" borderId="16" xfId="0" applyNumberFormat="1" applyFont="1" applyFill="1" applyBorder="1"/>
    <xf numFmtId="0" fontId="14" fillId="3" borderId="0" xfId="0" applyFont="1" applyFill="1"/>
    <xf numFmtId="0" fontId="15" fillId="0" borderId="0" xfId="0" applyFont="1"/>
    <xf numFmtId="2" fontId="14" fillId="3" borderId="0" xfId="0" applyNumberFormat="1" applyFont="1" applyFill="1"/>
    <xf numFmtId="177" fontId="14" fillId="3" borderId="0" xfId="0" applyNumberFormat="1" applyFont="1" applyFill="1"/>
    <xf numFmtId="9" fontId="14" fillId="3" borderId="0" xfId="0" applyNumberFormat="1" applyFont="1" applyFill="1"/>
    <xf numFmtId="179" fontId="14" fillId="3" borderId="0" xfId="0" applyNumberFormat="1" applyFont="1" applyFill="1"/>
    <xf numFmtId="171" fontId="14" fillId="3" borderId="0" xfId="0" applyNumberFormat="1" applyFont="1" applyFill="1"/>
    <xf numFmtId="178" fontId="14" fillId="3" borderId="0" xfId="0" applyNumberFormat="1" applyFont="1" applyFill="1"/>
    <xf numFmtId="0" fontId="14" fillId="0" borderId="0" xfId="0" applyFont="1"/>
    <xf numFmtId="2" fontId="10" fillId="3" borderId="0" xfId="0" applyNumberFormat="1" applyFont="1" applyFill="1"/>
    <xf numFmtId="9" fontId="10" fillId="3" borderId="0" xfId="0" applyNumberFormat="1" applyFont="1" applyFill="1"/>
    <xf numFmtId="179" fontId="10" fillId="3" borderId="0" xfId="0" applyNumberFormat="1" applyFont="1" applyFill="1"/>
    <xf numFmtId="0" fontId="26" fillId="3" borderId="8" xfId="0" applyFont="1" applyFill="1" applyBorder="1" applyAlignment="1">
      <alignment horizontal="center"/>
    </xf>
    <xf numFmtId="14" fontId="10" fillId="3" borderId="0" xfId="0" applyNumberFormat="1" applyFont="1" applyFill="1"/>
    <xf numFmtId="180" fontId="10" fillId="3" borderId="0" xfId="0" applyNumberFormat="1" applyFont="1" applyFill="1"/>
    <xf numFmtId="0" fontId="27" fillId="8" borderId="16" xfId="0" applyFont="1" applyFill="1" applyBorder="1"/>
    <xf numFmtId="0" fontId="2" fillId="8" borderId="16" xfId="0" applyFont="1" applyFill="1" applyBorder="1"/>
    <xf numFmtId="0" fontId="28" fillId="3" borderId="16" xfId="0" applyFont="1" applyFill="1" applyBorder="1"/>
    <xf numFmtId="176" fontId="28" fillId="3" borderId="16" xfId="0" applyNumberFormat="1" applyFont="1" applyFill="1" applyBorder="1" applyAlignment="1">
      <alignment horizontal="right"/>
    </xf>
    <xf numFmtId="0" fontId="2" fillId="3" borderId="21" xfId="0" applyFont="1" applyFill="1" applyBorder="1"/>
    <xf numFmtId="181" fontId="28" fillId="3" borderId="21" xfId="0" applyNumberFormat="1" applyFont="1" applyFill="1" applyBorder="1" applyAlignment="1">
      <alignment horizontal="right"/>
    </xf>
    <xf numFmtId="0" fontId="1" fillId="3" borderId="16" xfId="0" applyFont="1" applyFill="1" applyBorder="1"/>
    <xf numFmtId="170" fontId="2" fillId="3" borderId="16" xfId="0" applyNumberFormat="1" applyFont="1" applyFill="1" applyBorder="1" applyAlignment="1">
      <alignment horizontal="right"/>
    </xf>
    <xf numFmtId="170" fontId="28" fillId="3" borderId="16" xfId="0" applyNumberFormat="1" applyFont="1" applyFill="1" applyBorder="1" applyAlignment="1">
      <alignment horizontal="right"/>
    </xf>
    <xf numFmtId="170" fontId="28" fillId="3" borderId="21" xfId="0" applyNumberFormat="1" applyFont="1" applyFill="1" applyBorder="1" applyAlignment="1">
      <alignment horizontal="right"/>
    </xf>
    <xf numFmtId="170" fontId="2" fillId="0" borderId="0" xfId="0" applyNumberFormat="1" applyFont="1"/>
    <xf numFmtId="182" fontId="28" fillId="3" borderId="16" xfId="0" applyNumberFormat="1" applyFont="1" applyFill="1" applyBorder="1" applyAlignment="1">
      <alignment horizontal="right"/>
    </xf>
    <xf numFmtId="183" fontId="2" fillId="3" borderId="16" xfId="0" applyNumberFormat="1" applyFont="1" applyFill="1" applyBorder="1" applyAlignment="1">
      <alignment horizontal="right"/>
    </xf>
    <xf numFmtId="182" fontId="2" fillId="3" borderId="16" xfId="0" applyNumberFormat="1" applyFont="1" applyFill="1" applyBorder="1"/>
    <xf numFmtId="183" fontId="29" fillId="3" borderId="21" xfId="0" applyNumberFormat="1" applyFont="1" applyFill="1" applyBorder="1" applyAlignment="1">
      <alignment horizontal="right"/>
    </xf>
    <xf numFmtId="172" fontId="28" fillId="3" borderId="21" xfId="0" applyNumberFormat="1" applyFont="1" applyFill="1" applyBorder="1" applyAlignment="1">
      <alignment horizontal="right"/>
    </xf>
    <xf numFmtId="176" fontId="1" fillId="3" borderId="16" xfId="0" applyNumberFormat="1" applyFont="1" applyFill="1" applyBorder="1" applyAlignment="1">
      <alignment horizontal="right"/>
    </xf>
    <xf numFmtId="9" fontId="2" fillId="3" borderId="16" xfId="0" applyNumberFormat="1" applyFont="1" applyFill="1" applyBorder="1" applyAlignment="1">
      <alignment horizontal="right"/>
    </xf>
    <xf numFmtId="9" fontId="1" fillId="3" borderId="16" xfId="0" applyNumberFormat="1" applyFont="1" applyFill="1" applyBorder="1" applyAlignment="1">
      <alignment horizontal="right"/>
    </xf>
    <xf numFmtId="2" fontId="2" fillId="3" borderId="16" xfId="0" applyNumberFormat="1" applyFont="1" applyFill="1" applyBorder="1"/>
    <xf numFmtId="0" fontId="10" fillId="3" borderId="21" xfId="0" applyFont="1" applyFill="1" applyBorder="1"/>
    <xf numFmtId="0" fontId="14" fillId="5" borderId="21" xfId="0" applyFont="1" applyFill="1" applyBorder="1" applyAlignment="1">
      <alignment horizontal="center"/>
    </xf>
    <xf numFmtId="170" fontId="10" fillId="7" borderId="16" xfId="0" applyNumberFormat="1" applyFont="1" applyFill="1" applyBorder="1"/>
    <xf numFmtId="171" fontId="30" fillId="3" borderId="16" xfId="0" applyNumberFormat="1" applyFont="1" applyFill="1" applyBorder="1"/>
    <xf numFmtId="171" fontId="10" fillId="7" borderId="16" xfId="0" applyNumberFormat="1" applyFont="1" applyFill="1" applyBorder="1"/>
    <xf numFmtId="171" fontId="30" fillId="3" borderId="16" xfId="0" applyNumberFormat="1" applyFont="1" applyFill="1" applyBorder="1" applyAlignment="1">
      <alignment horizontal="center"/>
    </xf>
    <xf numFmtId="183" fontId="10" fillId="9" borderId="16" xfId="0" applyNumberFormat="1" applyFont="1" applyFill="1" applyBorder="1"/>
    <xf numFmtId="170" fontId="2" fillId="3" borderId="16" xfId="0" applyNumberFormat="1" applyFont="1" applyFill="1" applyBorder="1" applyAlignment="1">
      <alignment horizontal="center"/>
    </xf>
    <xf numFmtId="170" fontId="10" fillId="7" borderId="21" xfId="0" applyNumberFormat="1" applyFont="1" applyFill="1" applyBorder="1"/>
    <xf numFmtId="172" fontId="10" fillId="0" borderId="21" xfId="0" applyNumberFormat="1" applyFont="1" applyBorder="1"/>
    <xf numFmtId="176" fontId="1" fillId="3" borderId="16" xfId="0" applyNumberFormat="1" applyFont="1" applyFill="1" applyBorder="1" applyAlignment="1">
      <alignment horizontal="center"/>
    </xf>
    <xf numFmtId="0" fontId="10" fillId="7" borderId="16" xfId="0" applyFont="1" applyFill="1" applyBorder="1"/>
    <xf numFmtId="9" fontId="10" fillId="7" borderId="16" xfId="0" applyNumberFormat="1" applyFont="1" applyFill="1" applyBorder="1"/>
    <xf numFmtId="9" fontId="1" fillId="3" borderId="16" xfId="0" applyNumberFormat="1" applyFont="1" applyFill="1" applyBorder="1" applyAlignment="1">
      <alignment horizontal="center"/>
    </xf>
    <xf numFmtId="172" fontId="2" fillId="3" borderId="16" xfId="0" applyNumberFormat="1" applyFont="1" applyFill="1" applyBorder="1" applyAlignment="1">
      <alignment horizontal="center"/>
    </xf>
    <xf numFmtId="0" fontId="10" fillId="10" borderId="21" xfId="0" applyFont="1" applyFill="1" applyBorder="1"/>
    <xf numFmtId="168" fontId="31" fillId="10" borderId="21" xfId="0" applyNumberFormat="1" applyFont="1" applyFill="1" applyBorder="1" applyAlignment="1">
      <alignment horizontal="right"/>
    </xf>
    <xf numFmtId="168" fontId="31" fillId="10" borderId="29" xfId="0" applyNumberFormat="1" applyFont="1" applyFill="1" applyBorder="1" applyAlignment="1">
      <alignment horizontal="right"/>
    </xf>
    <xf numFmtId="169" fontId="31" fillId="8" borderId="21" xfId="0" applyNumberFormat="1" applyFont="1" applyFill="1" applyBorder="1" applyAlignment="1">
      <alignment horizontal="right"/>
    </xf>
    <xf numFmtId="0" fontId="32" fillId="0" borderId="16" xfId="0" applyFont="1" applyBorder="1"/>
    <xf numFmtId="170" fontId="2" fillId="0" borderId="0" xfId="0" applyNumberFormat="1" applyFont="1" applyAlignment="1">
      <alignment horizontal="right"/>
    </xf>
    <xf numFmtId="170" fontId="10" fillId="0" borderId="0" xfId="0" applyNumberFormat="1" applyFont="1"/>
    <xf numFmtId="0" fontId="10" fillId="0" borderId="16" xfId="0" applyFont="1" applyBorder="1"/>
    <xf numFmtId="171" fontId="21" fillId="0" borderId="16" xfId="0" applyNumberFormat="1" applyFont="1" applyBorder="1"/>
    <xf numFmtId="171" fontId="10" fillId="0" borderId="16" xfId="0" applyNumberFormat="1" applyFont="1" applyBorder="1"/>
    <xf numFmtId="171" fontId="10" fillId="0" borderId="30" xfId="0" applyNumberFormat="1" applyFont="1" applyBorder="1"/>
    <xf numFmtId="170" fontId="10" fillId="0" borderId="16" xfId="0" applyNumberFormat="1" applyFont="1" applyBorder="1"/>
    <xf numFmtId="170" fontId="10" fillId="0" borderId="30" xfId="0" applyNumberFormat="1" applyFont="1" applyBorder="1"/>
    <xf numFmtId="0" fontId="10" fillId="0" borderId="30" xfId="0" applyFont="1" applyBorder="1"/>
    <xf numFmtId="172" fontId="10" fillId="0" borderId="16" xfId="0" applyNumberFormat="1" applyFont="1" applyBorder="1"/>
    <xf numFmtId="172" fontId="10" fillId="0" borderId="30" xfId="0" applyNumberFormat="1" applyFont="1" applyBorder="1"/>
    <xf numFmtId="176" fontId="10" fillId="0" borderId="16" xfId="0" applyNumberFormat="1" applyFont="1" applyBorder="1"/>
    <xf numFmtId="176" fontId="10" fillId="0" borderId="30" xfId="0" applyNumberFormat="1" applyFont="1" applyBorder="1"/>
    <xf numFmtId="183" fontId="10" fillId="0" borderId="16" xfId="0" applyNumberFormat="1" applyFont="1" applyBorder="1"/>
    <xf numFmtId="183" fontId="10" fillId="0" borderId="30" xfId="0" applyNumberFormat="1" applyFont="1" applyBorder="1"/>
    <xf numFmtId="0" fontId="33" fillId="11" borderId="16" xfId="0" applyFont="1" applyFill="1" applyBorder="1"/>
    <xf numFmtId="184" fontId="34" fillId="0" borderId="0" xfId="0" applyNumberFormat="1" applyFont="1" applyAlignment="1">
      <alignment horizontal="left"/>
    </xf>
    <xf numFmtId="0" fontId="34" fillId="0" borderId="0" xfId="0" applyFont="1" applyAlignment="1">
      <alignment horizontal="right"/>
    </xf>
    <xf numFmtId="184" fontId="17" fillId="0" borderId="0" xfId="0" applyNumberFormat="1" applyFont="1" applyAlignment="1">
      <alignment horizontal="left"/>
    </xf>
    <xf numFmtId="44" fontId="35" fillId="0" borderId="0" xfId="0" applyNumberFormat="1" applyFont="1" applyAlignment="1">
      <alignment horizontal="center"/>
    </xf>
    <xf numFmtId="0" fontId="3" fillId="0" borderId="3" xfId="0" applyFont="1" applyBorder="1"/>
    <xf numFmtId="0" fontId="3" fillId="0" borderId="4" xfId="0" applyFont="1" applyBorder="1"/>
    <xf numFmtId="0" fontId="3" fillId="0" borderId="5" xfId="0" applyFont="1" applyBorder="1"/>
    <xf numFmtId="0" fontId="0" fillId="0" borderId="0" xfId="0"/>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15" fillId="0" borderId="13" xfId="0" applyFont="1" applyBorder="1"/>
    <xf numFmtId="0" fontId="3" fillId="0" borderId="14" xfId="0" applyFont="1" applyBorder="1"/>
    <xf numFmtId="0" fontId="3" fillId="0" borderId="15" xfId="0" applyFont="1" applyBorder="1"/>
    <xf numFmtId="0" fontId="14" fillId="0" borderId="13" xfId="0" applyFont="1" applyBorder="1"/>
    <xf numFmtId="0" fontId="6" fillId="2" borderId="0" xfId="0" applyFont="1" applyFill="1"/>
    <xf numFmtId="0" fontId="14" fillId="0" borderId="2" xfId="0" applyFont="1" applyBorder="1" applyAlignment="1">
      <alignment wrapText="1"/>
    </xf>
    <xf numFmtId="0" fontId="10" fillId="0" borderId="5" xfId="0" applyFont="1" applyBorder="1" applyAlignment="1">
      <alignment vertical="top" wrapText="1"/>
    </xf>
    <xf numFmtId="0" fontId="14" fillId="0" borderId="5" xfId="0" applyFont="1" applyBorder="1" applyAlignment="1">
      <alignment vertical="top" wrapText="1"/>
    </xf>
    <xf numFmtId="0" fontId="16" fillId="0" borderId="5" xfId="0" applyFont="1" applyBorder="1"/>
    <xf numFmtId="0" fontId="6" fillId="2" borderId="13" xfId="0" applyFont="1" applyFill="1" applyBorder="1"/>
    <xf numFmtId="0" fontId="17" fillId="0" borderId="2" xfId="0" applyFont="1" applyBorder="1" applyAlignment="1">
      <alignment vertical="top" wrapText="1"/>
    </xf>
    <xf numFmtId="0" fontId="17" fillId="0" borderId="2" xfId="0" applyFont="1" applyBorder="1" applyAlignment="1">
      <alignment wrapText="1"/>
    </xf>
    <xf numFmtId="0" fontId="15" fillId="0" borderId="2" xfId="0" applyFont="1" applyBorder="1" applyAlignment="1">
      <alignment vertical="top"/>
    </xf>
    <xf numFmtId="0" fontId="6" fillId="2" borderId="13" xfId="0" applyFont="1" applyFill="1" applyBorder="1" applyAlignment="1">
      <alignment vertical="center"/>
    </xf>
    <xf numFmtId="0" fontId="12" fillId="0" borderId="2" xfId="0" applyFont="1" applyBorder="1" applyAlignment="1">
      <alignment vertical="top" wrapText="1"/>
    </xf>
    <xf numFmtId="0" fontId="4" fillId="0" borderId="2" xfId="0" applyFont="1" applyBorder="1" applyAlignment="1">
      <alignment vertical="top" wrapText="1"/>
    </xf>
    <xf numFmtId="0" fontId="12" fillId="0" borderId="5" xfId="0" applyFont="1" applyBorder="1" applyAlignment="1">
      <alignment vertical="top" wrapText="1"/>
    </xf>
    <xf numFmtId="0" fontId="10" fillId="0" borderId="6" xfId="0" applyFont="1" applyBorder="1" applyAlignment="1">
      <alignment wrapText="1"/>
    </xf>
    <xf numFmtId="0" fontId="8" fillId="0" borderId="10" xfId="0" applyFont="1" applyBorder="1" applyAlignment="1">
      <alignment vertical="top" wrapText="1"/>
    </xf>
    <xf numFmtId="0" fontId="3" fillId="0" borderId="11" xfId="0" applyFont="1" applyBorder="1"/>
    <xf numFmtId="0" fontId="3" fillId="0" borderId="12" xfId="0" applyFont="1" applyBorder="1"/>
    <xf numFmtId="0" fontId="7" fillId="0" borderId="10" xfId="0" applyFont="1" applyBorder="1" applyAlignment="1">
      <alignment vertical="center"/>
    </xf>
    <xf numFmtId="0" fontId="8" fillId="0" borderId="10" xfId="0" applyFont="1" applyBorder="1" applyAlignment="1">
      <alignment vertical="top"/>
    </xf>
    <xf numFmtId="0" fontId="9" fillId="0" borderId="10" xfId="0" applyFont="1" applyBorder="1" applyAlignment="1">
      <alignment vertical="center"/>
    </xf>
    <xf numFmtId="0" fontId="8" fillId="0" borderId="10" xfId="0" applyFont="1" applyBorder="1" applyAlignment="1">
      <alignment wrapText="1"/>
    </xf>
    <xf numFmtId="0" fontId="10" fillId="0" borderId="2" xfId="0" applyFont="1" applyBorder="1" applyAlignment="1">
      <alignment vertical="top" wrapText="1"/>
    </xf>
    <xf numFmtId="0" fontId="6" fillId="3" borderId="18" xfId="0" applyFont="1" applyFill="1" applyBorder="1"/>
    <xf numFmtId="0" fontId="3" fillId="0" borderId="19" xfId="0" applyFont="1" applyBorder="1"/>
    <xf numFmtId="0" fontId="3" fillId="0" borderId="20" xfId="0" applyFont="1" applyBorder="1"/>
    <xf numFmtId="0" fontId="16" fillId="8" borderId="22" xfId="0" applyFont="1" applyFill="1" applyBorder="1" applyAlignment="1">
      <alignment horizontal="center" wrapText="1"/>
    </xf>
    <xf numFmtId="0" fontId="3" fillId="0" borderId="24" xfId="0" applyFont="1" applyBorder="1"/>
    <xf numFmtId="0" fontId="3" fillId="0" borderId="23" xfId="0" applyFont="1" applyBorder="1"/>
    <xf numFmtId="0" fontId="3" fillId="0" borderId="25" xfId="0" applyFont="1" applyBorder="1"/>
    <xf numFmtId="0" fontId="3" fillId="0" borderId="26" xfId="0" applyFont="1" applyBorder="1"/>
    <xf numFmtId="0" fontId="6"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'Share Prices'!$A$1</c:f>
              <c:strCache>
                <c:ptCount val="1"/>
                <c:pt idx="0">
                  <c:v>Date</c:v>
                </c:pt>
              </c:strCache>
            </c:strRef>
          </c:tx>
          <c:spPr>
            <a:ln cmpd="sng">
              <a:solidFill>
                <a:srgbClr val="156082"/>
              </a:solidFill>
            </a:ln>
          </c:spPr>
          <c:marker>
            <c:symbol val="none"/>
          </c:marker>
          <c:cat>
            <c:numRef>
              <c:f>'Share Prices'!$A$2:$A$1019</c:f>
              <c:numCache>
                <c:formatCode>m/d/yyyy</c:formatCode>
                <c:ptCount val="1018"/>
                <c:pt idx="0">
                  <c:v>46120</c:v>
                </c:pt>
                <c:pt idx="1">
                  <c:v>46119</c:v>
                </c:pt>
                <c:pt idx="2">
                  <c:v>46118</c:v>
                </c:pt>
                <c:pt idx="3">
                  <c:v>46114</c:v>
                </c:pt>
                <c:pt idx="4">
                  <c:v>46113</c:v>
                </c:pt>
                <c:pt idx="5">
                  <c:v>46112</c:v>
                </c:pt>
                <c:pt idx="6">
                  <c:v>46111</c:v>
                </c:pt>
                <c:pt idx="7">
                  <c:v>46108</c:v>
                </c:pt>
                <c:pt idx="8">
                  <c:v>46107</c:v>
                </c:pt>
                <c:pt idx="9">
                  <c:v>46106</c:v>
                </c:pt>
                <c:pt idx="10">
                  <c:v>46105</c:v>
                </c:pt>
                <c:pt idx="11">
                  <c:v>46104</c:v>
                </c:pt>
                <c:pt idx="12">
                  <c:v>46101</c:v>
                </c:pt>
                <c:pt idx="13">
                  <c:v>46100</c:v>
                </c:pt>
                <c:pt idx="14">
                  <c:v>46099</c:v>
                </c:pt>
                <c:pt idx="15">
                  <c:v>46098</c:v>
                </c:pt>
                <c:pt idx="16">
                  <c:v>46097</c:v>
                </c:pt>
                <c:pt idx="17">
                  <c:v>46094</c:v>
                </c:pt>
                <c:pt idx="18">
                  <c:v>46093</c:v>
                </c:pt>
                <c:pt idx="19">
                  <c:v>46093</c:v>
                </c:pt>
                <c:pt idx="20">
                  <c:v>46092</c:v>
                </c:pt>
                <c:pt idx="21">
                  <c:v>46091</c:v>
                </c:pt>
                <c:pt idx="22">
                  <c:v>46090</c:v>
                </c:pt>
                <c:pt idx="23">
                  <c:v>46087</c:v>
                </c:pt>
                <c:pt idx="24">
                  <c:v>46086</c:v>
                </c:pt>
                <c:pt idx="25">
                  <c:v>46085</c:v>
                </c:pt>
                <c:pt idx="26">
                  <c:v>46084</c:v>
                </c:pt>
                <c:pt idx="27">
                  <c:v>46083</c:v>
                </c:pt>
                <c:pt idx="28">
                  <c:v>46080</c:v>
                </c:pt>
                <c:pt idx="29">
                  <c:v>46079</c:v>
                </c:pt>
                <c:pt idx="30">
                  <c:v>46078</c:v>
                </c:pt>
                <c:pt idx="31">
                  <c:v>46077</c:v>
                </c:pt>
                <c:pt idx="32">
                  <c:v>46076</c:v>
                </c:pt>
                <c:pt idx="33">
                  <c:v>46073</c:v>
                </c:pt>
                <c:pt idx="34">
                  <c:v>46072</c:v>
                </c:pt>
                <c:pt idx="35">
                  <c:v>46071</c:v>
                </c:pt>
                <c:pt idx="36">
                  <c:v>46070</c:v>
                </c:pt>
                <c:pt idx="37">
                  <c:v>46066</c:v>
                </c:pt>
                <c:pt idx="38">
                  <c:v>46065</c:v>
                </c:pt>
                <c:pt idx="39">
                  <c:v>46064</c:v>
                </c:pt>
                <c:pt idx="40">
                  <c:v>46063</c:v>
                </c:pt>
                <c:pt idx="41">
                  <c:v>46062</c:v>
                </c:pt>
                <c:pt idx="42">
                  <c:v>46059</c:v>
                </c:pt>
                <c:pt idx="43">
                  <c:v>46058</c:v>
                </c:pt>
                <c:pt idx="44">
                  <c:v>46057</c:v>
                </c:pt>
                <c:pt idx="45">
                  <c:v>46056</c:v>
                </c:pt>
                <c:pt idx="46">
                  <c:v>46055</c:v>
                </c:pt>
                <c:pt idx="47">
                  <c:v>46052</c:v>
                </c:pt>
                <c:pt idx="48">
                  <c:v>46051</c:v>
                </c:pt>
                <c:pt idx="49">
                  <c:v>46050</c:v>
                </c:pt>
                <c:pt idx="50">
                  <c:v>46049</c:v>
                </c:pt>
                <c:pt idx="51">
                  <c:v>46048</c:v>
                </c:pt>
                <c:pt idx="52">
                  <c:v>46045</c:v>
                </c:pt>
                <c:pt idx="53">
                  <c:v>46044</c:v>
                </c:pt>
                <c:pt idx="54">
                  <c:v>46043</c:v>
                </c:pt>
                <c:pt idx="55">
                  <c:v>46042</c:v>
                </c:pt>
                <c:pt idx="56">
                  <c:v>46038</c:v>
                </c:pt>
                <c:pt idx="57">
                  <c:v>46037</c:v>
                </c:pt>
                <c:pt idx="58">
                  <c:v>46036</c:v>
                </c:pt>
                <c:pt idx="59">
                  <c:v>46035</c:v>
                </c:pt>
                <c:pt idx="60">
                  <c:v>46034</c:v>
                </c:pt>
                <c:pt idx="61">
                  <c:v>46031</c:v>
                </c:pt>
                <c:pt idx="62">
                  <c:v>46030</c:v>
                </c:pt>
                <c:pt idx="63">
                  <c:v>46029</c:v>
                </c:pt>
                <c:pt idx="64">
                  <c:v>46028</c:v>
                </c:pt>
                <c:pt idx="65">
                  <c:v>46027</c:v>
                </c:pt>
                <c:pt idx="66">
                  <c:v>46024</c:v>
                </c:pt>
                <c:pt idx="67">
                  <c:v>46022</c:v>
                </c:pt>
                <c:pt idx="68">
                  <c:v>46021</c:v>
                </c:pt>
                <c:pt idx="69">
                  <c:v>46020</c:v>
                </c:pt>
                <c:pt idx="70">
                  <c:v>46017</c:v>
                </c:pt>
                <c:pt idx="71">
                  <c:v>46015</c:v>
                </c:pt>
                <c:pt idx="72">
                  <c:v>46014</c:v>
                </c:pt>
                <c:pt idx="73">
                  <c:v>46013</c:v>
                </c:pt>
                <c:pt idx="74">
                  <c:v>46010</c:v>
                </c:pt>
                <c:pt idx="75">
                  <c:v>46009</c:v>
                </c:pt>
                <c:pt idx="76">
                  <c:v>46008</c:v>
                </c:pt>
                <c:pt idx="77">
                  <c:v>46007</c:v>
                </c:pt>
                <c:pt idx="78">
                  <c:v>46006</c:v>
                </c:pt>
                <c:pt idx="79">
                  <c:v>46003</c:v>
                </c:pt>
                <c:pt idx="80">
                  <c:v>46002</c:v>
                </c:pt>
                <c:pt idx="81">
                  <c:v>46001</c:v>
                </c:pt>
                <c:pt idx="82">
                  <c:v>46000</c:v>
                </c:pt>
                <c:pt idx="83">
                  <c:v>45999</c:v>
                </c:pt>
                <c:pt idx="84">
                  <c:v>45996</c:v>
                </c:pt>
                <c:pt idx="85">
                  <c:v>45995</c:v>
                </c:pt>
                <c:pt idx="86">
                  <c:v>45994</c:v>
                </c:pt>
                <c:pt idx="87">
                  <c:v>45994</c:v>
                </c:pt>
                <c:pt idx="88">
                  <c:v>45993</c:v>
                </c:pt>
                <c:pt idx="89">
                  <c:v>45992</c:v>
                </c:pt>
                <c:pt idx="90">
                  <c:v>45989</c:v>
                </c:pt>
                <c:pt idx="91">
                  <c:v>45987</c:v>
                </c:pt>
                <c:pt idx="92">
                  <c:v>45986</c:v>
                </c:pt>
                <c:pt idx="93">
                  <c:v>45985</c:v>
                </c:pt>
                <c:pt idx="94">
                  <c:v>45982</c:v>
                </c:pt>
                <c:pt idx="95">
                  <c:v>45981</c:v>
                </c:pt>
                <c:pt idx="96">
                  <c:v>45980</c:v>
                </c:pt>
                <c:pt idx="97">
                  <c:v>45979</c:v>
                </c:pt>
                <c:pt idx="98">
                  <c:v>45978</c:v>
                </c:pt>
                <c:pt idx="99">
                  <c:v>45975</c:v>
                </c:pt>
                <c:pt idx="100">
                  <c:v>45974</c:v>
                </c:pt>
                <c:pt idx="101">
                  <c:v>45973</c:v>
                </c:pt>
                <c:pt idx="102">
                  <c:v>45972</c:v>
                </c:pt>
                <c:pt idx="103">
                  <c:v>45971</c:v>
                </c:pt>
                <c:pt idx="104">
                  <c:v>45968</c:v>
                </c:pt>
                <c:pt idx="105">
                  <c:v>45967</c:v>
                </c:pt>
                <c:pt idx="106">
                  <c:v>45966</c:v>
                </c:pt>
                <c:pt idx="107">
                  <c:v>45965</c:v>
                </c:pt>
                <c:pt idx="108">
                  <c:v>45964</c:v>
                </c:pt>
                <c:pt idx="109">
                  <c:v>45961</c:v>
                </c:pt>
                <c:pt idx="110">
                  <c:v>45960</c:v>
                </c:pt>
                <c:pt idx="111">
                  <c:v>45959</c:v>
                </c:pt>
                <c:pt idx="112">
                  <c:v>45958</c:v>
                </c:pt>
                <c:pt idx="113">
                  <c:v>45957</c:v>
                </c:pt>
                <c:pt idx="114">
                  <c:v>45954</c:v>
                </c:pt>
                <c:pt idx="115">
                  <c:v>45953</c:v>
                </c:pt>
                <c:pt idx="116">
                  <c:v>45952</c:v>
                </c:pt>
                <c:pt idx="117">
                  <c:v>45951</c:v>
                </c:pt>
                <c:pt idx="118">
                  <c:v>45950</c:v>
                </c:pt>
                <c:pt idx="119">
                  <c:v>45947</c:v>
                </c:pt>
                <c:pt idx="120">
                  <c:v>45946</c:v>
                </c:pt>
                <c:pt idx="121">
                  <c:v>45945</c:v>
                </c:pt>
                <c:pt idx="122">
                  <c:v>45944</c:v>
                </c:pt>
                <c:pt idx="123">
                  <c:v>45943</c:v>
                </c:pt>
                <c:pt idx="124">
                  <c:v>45940</c:v>
                </c:pt>
                <c:pt idx="125">
                  <c:v>45939</c:v>
                </c:pt>
                <c:pt idx="126">
                  <c:v>45938</c:v>
                </c:pt>
                <c:pt idx="127">
                  <c:v>45937</c:v>
                </c:pt>
                <c:pt idx="128">
                  <c:v>45936</c:v>
                </c:pt>
                <c:pt idx="129">
                  <c:v>45933</c:v>
                </c:pt>
                <c:pt idx="130">
                  <c:v>45932</c:v>
                </c:pt>
                <c:pt idx="131">
                  <c:v>45931</c:v>
                </c:pt>
                <c:pt idx="132">
                  <c:v>45930</c:v>
                </c:pt>
                <c:pt idx="133">
                  <c:v>45929</c:v>
                </c:pt>
                <c:pt idx="134">
                  <c:v>45926</c:v>
                </c:pt>
                <c:pt idx="135">
                  <c:v>45925</c:v>
                </c:pt>
                <c:pt idx="136">
                  <c:v>45924</c:v>
                </c:pt>
                <c:pt idx="137">
                  <c:v>45923</c:v>
                </c:pt>
                <c:pt idx="138">
                  <c:v>45922</c:v>
                </c:pt>
                <c:pt idx="139">
                  <c:v>45919</c:v>
                </c:pt>
                <c:pt idx="140">
                  <c:v>45918</c:v>
                </c:pt>
                <c:pt idx="141">
                  <c:v>45917</c:v>
                </c:pt>
                <c:pt idx="142">
                  <c:v>45916</c:v>
                </c:pt>
                <c:pt idx="143">
                  <c:v>45915</c:v>
                </c:pt>
                <c:pt idx="144">
                  <c:v>45912</c:v>
                </c:pt>
                <c:pt idx="145">
                  <c:v>45911</c:v>
                </c:pt>
                <c:pt idx="146">
                  <c:v>45911</c:v>
                </c:pt>
                <c:pt idx="147">
                  <c:v>45910</c:v>
                </c:pt>
                <c:pt idx="148">
                  <c:v>45909</c:v>
                </c:pt>
                <c:pt idx="149">
                  <c:v>45908</c:v>
                </c:pt>
                <c:pt idx="150">
                  <c:v>45905</c:v>
                </c:pt>
                <c:pt idx="151">
                  <c:v>45904</c:v>
                </c:pt>
                <c:pt idx="152">
                  <c:v>45903</c:v>
                </c:pt>
                <c:pt idx="153">
                  <c:v>45902</c:v>
                </c:pt>
                <c:pt idx="154">
                  <c:v>45898</c:v>
                </c:pt>
                <c:pt idx="155">
                  <c:v>45897</c:v>
                </c:pt>
                <c:pt idx="156">
                  <c:v>45896</c:v>
                </c:pt>
                <c:pt idx="157">
                  <c:v>45895</c:v>
                </c:pt>
                <c:pt idx="158">
                  <c:v>45894</c:v>
                </c:pt>
                <c:pt idx="159">
                  <c:v>45891</c:v>
                </c:pt>
                <c:pt idx="160">
                  <c:v>45890</c:v>
                </c:pt>
                <c:pt idx="161">
                  <c:v>45889</c:v>
                </c:pt>
                <c:pt idx="162">
                  <c:v>45888</c:v>
                </c:pt>
                <c:pt idx="163">
                  <c:v>45887</c:v>
                </c:pt>
                <c:pt idx="164">
                  <c:v>45884</c:v>
                </c:pt>
                <c:pt idx="165">
                  <c:v>45883</c:v>
                </c:pt>
                <c:pt idx="166">
                  <c:v>45882</c:v>
                </c:pt>
                <c:pt idx="167">
                  <c:v>45881</c:v>
                </c:pt>
                <c:pt idx="168">
                  <c:v>45880</c:v>
                </c:pt>
                <c:pt idx="169">
                  <c:v>45877</c:v>
                </c:pt>
                <c:pt idx="170">
                  <c:v>45876</c:v>
                </c:pt>
                <c:pt idx="171">
                  <c:v>45875</c:v>
                </c:pt>
                <c:pt idx="172">
                  <c:v>45874</c:v>
                </c:pt>
                <c:pt idx="173">
                  <c:v>45873</c:v>
                </c:pt>
                <c:pt idx="174">
                  <c:v>45870</c:v>
                </c:pt>
                <c:pt idx="175">
                  <c:v>45869</c:v>
                </c:pt>
                <c:pt idx="176">
                  <c:v>45868</c:v>
                </c:pt>
                <c:pt idx="177">
                  <c:v>45867</c:v>
                </c:pt>
                <c:pt idx="178">
                  <c:v>45866</c:v>
                </c:pt>
                <c:pt idx="179">
                  <c:v>45863</c:v>
                </c:pt>
                <c:pt idx="180">
                  <c:v>45862</c:v>
                </c:pt>
                <c:pt idx="181">
                  <c:v>45861</c:v>
                </c:pt>
                <c:pt idx="182">
                  <c:v>45860</c:v>
                </c:pt>
                <c:pt idx="183">
                  <c:v>45859</c:v>
                </c:pt>
                <c:pt idx="184">
                  <c:v>45856</c:v>
                </c:pt>
                <c:pt idx="185">
                  <c:v>45855</c:v>
                </c:pt>
                <c:pt idx="186">
                  <c:v>45854</c:v>
                </c:pt>
                <c:pt idx="187">
                  <c:v>45853</c:v>
                </c:pt>
                <c:pt idx="188">
                  <c:v>45852</c:v>
                </c:pt>
                <c:pt idx="189">
                  <c:v>45849</c:v>
                </c:pt>
                <c:pt idx="190">
                  <c:v>45848</c:v>
                </c:pt>
                <c:pt idx="191">
                  <c:v>45847</c:v>
                </c:pt>
                <c:pt idx="192">
                  <c:v>45846</c:v>
                </c:pt>
                <c:pt idx="193">
                  <c:v>45845</c:v>
                </c:pt>
                <c:pt idx="194">
                  <c:v>45841</c:v>
                </c:pt>
                <c:pt idx="195">
                  <c:v>45840</c:v>
                </c:pt>
                <c:pt idx="196">
                  <c:v>45839</c:v>
                </c:pt>
                <c:pt idx="197">
                  <c:v>45838</c:v>
                </c:pt>
                <c:pt idx="198">
                  <c:v>45835</c:v>
                </c:pt>
                <c:pt idx="199">
                  <c:v>45834</c:v>
                </c:pt>
                <c:pt idx="200">
                  <c:v>45833</c:v>
                </c:pt>
                <c:pt idx="201">
                  <c:v>45832</c:v>
                </c:pt>
                <c:pt idx="202">
                  <c:v>45831</c:v>
                </c:pt>
                <c:pt idx="203">
                  <c:v>45828</c:v>
                </c:pt>
                <c:pt idx="204">
                  <c:v>45826</c:v>
                </c:pt>
                <c:pt idx="205">
                  <c:v>45826</c:v>
                </c:pt>
                <c:pt idx="206">
                  <c:v>45825</c:v>
                </c:pt>
                <c:pt idx="207">
                  <c:v>45824</c:v>
                </c:pt>
                <c:pt idx="208">
                  <c:v>45821</c:v>
                </c:pt>
                <c:pt idx="209">
                  <c:v>45820</c:v>
                </c:pt>
                <c:pt idx="210">
                  <c:v>45819</c:v>
                </c:pt>
                <c:pt idx="211">
                  <c:v>45818</c:v>
                </c:pt>
                <c:pt idx="212">
                  <c:v>45817</c:v>
                </c:pt>
                <c:pt idx="213">
                  <c:v>45814</c:v>
                </c:pt>
                <c:pt idx="214">
                  <c:v>45813</c:v>
                </c:pt>
                <c:pt idx="215">
                  <c:v>45812</c:v>
                </c:pt>
                <c:pt idx="216">
                  <c:v>45811</c:v>
                </c:pt>
                <c:pt idx="217">
                  <c:v>45810</c:v>
                </c:pt>
                <c:pt idx="218">
                  <c:v>45807</c:v>
                </c:pt>
                <c:pt idx="219">
                  <c:v>45806</c:v>
                </c:pt>
                <c:pt idx="220">
                  <c:v>45805</c:v>
                </c:pt>
                <c:pt idx="221">
                  <c:v>45804</c:v>
                </c:pt>
                <c:pt idx="222">
                  <c:v>45800</c:v>
                </c:pt>
                <c:pt idx="223">
                  <c:v>45799</c:v>
                </c:pt>
                <c:pt idx="224">
                  <c:v>45798</c:v>
                </c:pt>
                <c:pt idx="225">
                  <c:v>45797</c:v>
                </c:pt>
                <c:pt idx="226">
                  <c:v>45796</c:v>
                </c:pt>
                <c:pt idx="227">
                  <c:v>45793</c:v>
                </c:pt>
                <c:pt idx="228">
                  <c:v>45792</c:v>
                </c:pt>
                <c:pt idx="229">
                  <c:v>45791</c:v>
                </c:pt>
                <c:pt idx="230">
                  <c:v>45790</c:v>
                </c:pt>
                <c:pt idx="231">
                  <c:v>45789</c:v>
                </c:pt>
                <c:pt idx="232">
                  <c:v>45786</c:v>
                </c:pt>
                <c:pt idx="233">
                  <c:v>45785</c:v>
                </c:pt>
                <c:pt idx="234">
                  <c:v>45784</c:v>
                </c:pt>
                <c:pt idx="235">
                  <c:v>45783</c:v>
                </c:pt>
                <c:pt idx="236">
                  <c:v>45782</c:v>
                </c:pt>
                <c:pt idx="237">
                  <c:v>45779</c:v>
                </c:pt>
                <c:pt idx="238">
                  <c:v>45778</c:v>
                </c:pt>
                <c:pt idx="239">
                  <c:v>45777</c:v>
                </c:pt>
                <c:pt idx="240">
                  <c:v>45776</c:v>
                </c:pt>
                <c:pt idx="241">
                  <c:v>45775</c:v>
                </c:pt>
                <c:pt idx="242">
                  <c:v>45772</c:v>
                </c:pt>
                <c:pt idx="243">
                  <c:v>45771</c:v>
                </c:pt>
                <c:pt idx="244">
                  <c:v>45770</c:v>
                </c:pt>
                <c:pt idx="245">
                  <c:v>45769</c:v>
                </c:pt>
                <c:pt idx="246">
                  <c:v>45768</c:v>
                </c:pt>
                <c:pt idx="247">
                  <c:v>45764</c:v>
                </c:pt>
                <c:pt idx="248">
                  <c:v>45763</c:v>
                </c:pt>
                <c:pt idx="249">
                  <c:v>45762</c:v>
                </c:pt>
                <c:pt idx="250">
                  <c:v>45761</c:v>
                </c:pt>
                <c:pt idx="251">
                  <c:v>45758</c:v>
                </c:pt>
                <c:pt idx="252">
                  <c:v>45757</c:v>
                </c:pt>
                <c:pt idx="253">
                  <c:v>45756</c:v>
                </c:pt>
                <c:pt idx="254">
                  <c:v>45755</c:v>
                </c:pt>
                <c:pt idx="255">
                  <c:v>45754</c:v>
                </c:pt>
                <c:pt idx="256">
                  <c:v>45751</c:v>
                </c:pt>
                <c:pt idx="257">
                  <c:v>45750</c:v>
                </c:pt>
                <c:pt idx="258">
                  <c:v>45749</c:v>
                </c:pt>
                <c:pt idx="259">
                  <c:v>45748</c:v>
                </c:pt>
                <c:pt idx="260">
                  <c:v>45747</c:v>
                </c:pt>
                <c:pt idx="261">
                  <c:v>45744</c:v>
                </c:pt>
                <c:pt idx="262">
                  <c:v>45743</c:v>
                </c:pt>
                <c:pt idx="263">
                  <c:v>45742</c:v>
                </c:pt>
                <c:pt idx="264">
                  <c:v>45741</c:v>
                </c:pt>
                <c:pt idx="265">
                  <c:v>45740</c:v>
                </c:pt>
                <c:pt idx="266">
                  <c:v>45737</c:v>
                </c:pt>
                <c:pt idx="267">
                  <c:v>45736</c:v>
                </c:pt>
                <c:pt idx="268">
                  <c:v>45735</c:v>
                </c:pt>
                <c:pt idx="269">
                  <c:v>45734</c:v>
                </c:pt>
                <c:pt idx="270">
                  <c:v>45733</c:v>
                </c:pt>
                <c:pt idx="271">
                  <c:v>45730</c:v>
                </c:pt>
                <c:pt idx="272">
                  <c:v>45729</c:v>
                </c:pt>
                <c:pt idx="273">
                  <c:v>45729</c:v>
                </c:pt>
                <c:pt idx="274">
                  <c:v>45728</c:v>
                </c:pt>
                <c:pt idx="275">
                  <c:v>45727</c:v>
                </c:pt>
                <c:pt idx="276">
                  <c:v>45726</c:v>
                </c:pt>
                <c:pt idx="277">
                  <c:v>45723</c:v>
                </c:pt>
                <c:pt idx="278">
                  <c:v>45722</c:v>
                </c:pt>
                <c:pt idx="279">
                  <c:v>45721</c:v>
                </c:pt>
                <c:pt idx="280">
                  <c:v>45720</c:v>
                </c:pt>
                <c:pt idx="281">
                  <c:v>45719</c:v>
                </c:pt>
                <c:pt idx="282">
                  <c:v>45716</c:v>
                </c:pt>
                <c:pt idx="283">
                  <c:v>45715</c:v>
                </c:pt>
                <c:pt idx="284">
                  <c:v>45714</c:v>
                </c:pt>
                <c:pt idx="285">
                  <c:v>45713</c:v>
                </c:pt>
                <c:pt idx="286">
                  <c:v>45712</c:v>
                </c:pt>
                <c:pt idx="287">
                  <c:v>45709</c:v>
                </c:pt>
                <c:pt idx="288">
                  <c:v>45708</c:v>
                </c:pt>
                <c:pt idx="289">
                  <c:v>45707</c:v>
                </c:pt>
                <c:pt idx="290">
                  <c:v>45706</c:v>
                </c:pt>
                <c:pt idx="291">
                  <c:v>45702</c:v>
                </c:pt>
                <c:pt idx="292">
                  <c:v>45701</c:v>
                </c:pt>
                <c:pt idx="293">
                  <c:v>45700</c:v>
                </c:pt>
                <c:pt idx="294">
                  <c:v>45699</c:v>
                </c:pt>
                <c:pt idx="295">
                  <c:v>45698</c:v>
                </c:pt>
                <c:pt idx="296">
                  <c:v>45695</c:v>
                </c:pt>
                <c:pt idx="297">
                  <c:v>45694</c:v>
                </c:pt>
                <c:pt idx="298">
                  <c:v>45693</c:v>
                </c:pt>
                <c:pt idx="299">
                  <c:v>45692</c:v>
                </c:pt>
                <c:pt idx="300">
                  <c:v>45691</c:v>
                </c:pt>
                <c:pt idx="301">
                  <c:v>45688</c:v>
                </c:pt>
                <c:pt idx="302">
                  <c:v>45687</c:v>
                </c:pt>
                <c:pt idx="303">
                  <c:v>45686</c:v>
                </c:pt>
                <c:pt idx="304">
                  <c:v>45685</c:v>
                </c:pt>
                <c:pt idx="305">
                  <c:v>45684</c:v>
                </c:pt>
                <c:pt idx="306">
                  <c:v>45681</c:v>
                </c:pt>
                <c:pt idx="307">
                  <c:v>45680</c:v>
                </c:pt>
                <c:pt idx="308">
                  <c:v>45679</c:v>
                </c:pt>
                <c:pt idx="309">
                  <c:v>45678</c:v>
                </c:pt>
                <c:pt idx="310">
                  <c:v>45674</c:v>
                </c:pt>
                <c:pt idx="311">
                  <c:v>45673</c:v>
                </c:pt>
                <c:pt idx="312">
                  <c:v>45672</c:v>
                </c:pt>
                <c:pt idx="313">
                  <c:v>45671</c:v>
                </c:pt>
                <c:pt idx="314">
                  <c:v>45670</c:v>
                </c:pt>
                <c:pt idx="315">
                  <c:v>45667</c:v>
                </c:pt>
                <c:pt idx="316">
                  <c:v>45665</c:v>
                </c:pt>
                <c:pt idx="317">
                  <c:v>45664</c:v>
                </c:pt>
                <c:pt idx="318">
                  <c:v>45663</c:v>
                </c:pt>
                <c:pt idx="319">
                  <c:v>45660</c:v>
                </c:pt>
                <c:pt idx="320">
                  <c:v>45659</c:v>
                </c:pt>
                <c:pt idx="321">
                  <c:v>45657</c:v>
                </c:pt>
                <c:pt idx="322">
                  <c:v>45656</c:v>
                </c:pt>
                <c:pt idx="323">
                  <c:v>45653</c:v>
                </c:pt>
                <c:pt idx="324">
                  <c:v>45652</c:v>
                </c:pt>
                <c:pt idx="325">
                  <c:v>45650</c:v>
                </c:pt>
                <c:pt idx="326">
                  <c:v>45649</c:v>
                </c:pt>
                <c:pt idx="327">
                  <c:v>45646</c:v>
                </c:pt>
                <c:pt idx="328">
                  <c:v>45645</c:v>
                </c:pt>
                <c:pt idx="329">
                  <c:v>45644</c:v>
                </c:pt>
                <c:pt idx="330">
                  <c:v>45643</c:v>
                </c:pt>
                <c:pt idx="331">
                  <c:v>45642</c:v>
                </c:pt>
                <c:pt idx="332">
                  <c:v>45639</c:v>
                </c:pt>
                <c:pt idx="333">
                  <c:v>45638</c:v>
                </c:pt>
                <c:pt idx="334">
                  <c:v>45637</c:v>
                </c:pt>
                <c:pt idx="335">
                  <c:v>45636</c:v>
                </c:pt>
                <c:pt idx="336">
                  <c:v>45635</c:v>
                </c:pt>
                <c:pt idx="337">
                  <c:v>45632</c:v>
                </c:pt>
                <c:pt idx="338">
                  <c:v>45631</c:v>
                </c:pt>
                <c:pt idx="339">
                  <c:v>45630</c:v>
                </c:pt>
                <c:pt idx="340">
                  <c:v>45629</c:v>
                </c:pt>
                <c:pt idx="341">
                  <c:v>45629</c:v>
                </c:pt>
                <c:pt idx="342">
                  <c:v>45628</c:v>
                </c:pt>
                <c:pt idx="343">
                  <c:v>45625</c:v>
                </c:pt>
                <c:pt idx="344">
                  <c:v>45623</c:v>
                </c:pt>
                <c:pt idx="345">
                  <c:v>45622</c:v>
                </c:pt>
                <c:pt idx="346">
                  <c:v>45621</c:v>
                </c:pt>
                <c:pt idx="347">
                  <c:v>45618</c:v>
                </c:pt>
                <c:pt idx="348">
                  <c:v>45617</c:v>
                </c:pt>
                <c:pt idx="349">
                  <c:v>45616</c:v>
                </c:pt>
                <c:pt idx="350">
                  <c:v>45615</c:v>
                </c:pt>
                <c:pt idx="351">
                  <c:v>45614</c:v>
                </c:pt>
                <c:pt idx="352">
                  <c:v>45611</c:v>
                </c:pt>
                <c:pt idx="353">
                  <c:v>45610</c:v>
                </c:pt>
                <c:pt idx="354">
                  <c:v>45609</c:v>
                </c:pt>
                <c:pt idx="355">
                  <c:v>45608</c:v>
                </c:pt>
                <c:pt idx="356">
                  <c:v>45607</c:v>
                </c:pt>
                <c:pt idx="357">
                  <c:v>45604</c:v>
                </c:pt>
                <c:pt idx="358">
                  <c:v>45603</c:v>
                </c:pt>
                <c:pt idx="359">
                  <c:v>45602</c:v>
                </c:pt>
                <c:pt idx="360">
                  <c:v>45601</c:v>
                </c:pt>
                <c:pt idx="361">
                  <c:v>45600</c:v>
                </c:pt>
                <c:pt idx="362">
                  <c:v>45597</c:v>
                </c:pt>
                <c:pt idx="363">
                  <c:v>45596</c:v>
                </c:pt>
                <c:pt idx="364">
                  <c:v>45595</c:v>
                </c:pt>
                <c:pt idx="365">
                  <c:v>45594</c:v>
                </c:pt>
                <c:pt idx="366">
                  <c:v>45593</c:v>
                </c:pt>
                <c:pt idx="367">
                  <c:v>45590</c:v>
                </c:pt>
                <c:pt idx="368">
                  <c:v>45589</c:v>
                </c:pt>
                <c:pt idx="369">
                  <c:v>45588</c:v>
                </c:pt>
                <c:pt idx="370">
                  <c:v>45587</c:v>
                </c:pt>
                <c:pt idx="371">
                  <c:v>45586</c:v>
                </c:pt>
                <c:pt idx="372">
                  <c:v>45583</c:v>
                </c:pt>
                <c:pt idx="373">
                  <c:v>45582</c:v>
                </c:pt>
                <c:pt idx="374">
                  <c:v>45581</c:v>
                </c:pt>
                <c:pt idx="375">
                  <c:v>45580</c:v>
                </c:pt>
                <c:pt idx="376">
                  <c:v>45579</c:v>
                </c:pt>
                <c:pt idx="377">
                  <c:v>45576</c:v>
                </c:pt>
                <c:pt idx="378">
                  <c:v>45575</c:v>
                </c:pt>
                <c:pt idx="379">
                  <c:v>45574</c:v>
                </c:pt>
                <c:pt idx="380">
                  <c:v>45573</c:v>
                </c:pt>
                <c:pt idx="381">
                  <c:v>45572</c:v>
                </c:pt>
                <c:pt idx="382">
                  <c:v>45569</c:v>
                </c:pt>
                <c:pt idx="383">
                  <c:v>45568</c:v>
                </c:pt>
                <c:pt idx="384">
                  <c:v>45567</c:v>
                </c:pt>
                <c:pt idx="385">
                  <c:v>45566</c:v>
                </c:pt>
                <c:pt idx="386">
                  <c:v>45565</c:v>
                </c:pt>
                <c:pt idx="387">
                  <c:v>45562</c:v>
                </c:pt>
                <c:pt idx="388">
                  <c:v>45561</c:v>
                </c:pt>
                <c:pt idx="389">
                  <c:v>45560</c:v>
                </c:pt>
                <c:pt idx="390">
                  <c:v>45559</c:v>
                </c:pt>
                <c:pt idx="391">
                  <c:v>45558</c:v>
                </c:pt>
                <c:pt idx="392">
                  <c:v>45555</c:v>
                </c:pt>
                <c:pt idx="393">
                  <c:v>45554</c:v>
                </c:pt>
                <c:pt idx="394">
                  <c:v>45553</c:v>
                </c:pt>
                <c:pt idx="395">
                  <c:v>45552</c:v>
                </c:pt>
                <c:pt idx="396">
                  <c:v>45551</c:v>
                </c:pt>
                <c:pt idx="397">
                  <c:v>45548</c:v>
                </c:pt>
                <c:pt idx="398">
                  <c:v>45547</c:v>
                </c:pt>
                <c:pt idx="399">
                  <c:v>45546</c:v>
                </c:pt>
                <c:pt idx="400">
                  <c:v>45545</c:v>
                </c:pt>
                <c:pt idx="401">
                  <c:v>45545</c:v>
                </c:pt>
                <c:pt idx="402">
                  <c:v>45544</c:v>
                </c:pt>
                <c:pt idx="403">
                  <c:v>45541</c:v>
                </c:pt>
                <c:pt idx="404">
                  <c:v>45540</c:v>
                </c:pt>
                <c:pt idx="405">
                  <c:v>45539</c:v>
                </c:pt>
                <c:pt idx="406">
                  <c:v>45538</c:v>
                </c:pt>
                <c:pt idx="407">
                  <c:v>45534</c:v>
                </c:pt>
                <c:pt idx="408">
                  <c:v>45533</c:v>
                </c:pt>
                <c:pt idx="409">
                  <c:v>45532</c:v>
                </c:pt>
                <c:pt idx="410">
                  <c:v>45531</c:v>
                </c:pt>
                <c:pt idx="411">
                  <c:v>45530</c:v>
                </c:pt>
                <c:pt idx="412">
                  <c:v>45527</c:v>
                </c:pt>
                <c:pt idx="413">
                  <c:v>45526</c:v>
                </c:pt>
                <c:pt idx="414">
                  <c:v>45525</c:v>
                </c:pt>
                <c:pt idx="415">
                  <c:v>45524</c:v>
                </c:pt>
                <c:pt idx="416">
                  <c:v>45523</c:v>
                </c:pt>
                <c:pt idx="417">
                  <c:v>45520</c:v>
                </c:pt>
                <c:pt idx="418">
                  <c:v>45519</c:v>
                </c:pt>
                <c:pt idx="419">
                  <c:v>45518</c:v>
                </c:pt>
                <c:pt idx="420">
                  <c:v>45517</c:v>
                </c:pt>
                <c:pt idx="421">
                  <c:v>45516</c:v>
                </c:pt>
                <c:pt idx="422">
                  <c:v>45513</c:v>
                </c:pt>
                <c:pt idx="423">
                  <c:v>45512</c:v>
                </c:pt>
                <c:pt idx="424">
                  <c:v>45511</c:v>
                </c:pt>
                <c:pt idx="425">
                  <c:v>45510</c:v>
                </c:pt>
                <c:pt idx="426">
                  <c:v>45509</c:v>
                </c:pt>
                <c:pt idx="427">
                  <c:v>45506</c:v>
                </c:pt>
                <c:pt idx="428">
                  <c:v>45505</c:v>
                </c:pt>
                <c:pt idx="429">
                  <c:v>45504</c:v>
                </c:pt>
                <c:pt idx="430">
                  <c:v>45503</c:v>
                </c:pt>
                <c:pt idx="431">
                  <c:v>45502</c:v>
                </c:pt>
                <c:pt idx="432">
                  <c:v>45499</c:v>
                </c:pt>
                <c:pt idx="433">
                  <c:v>45498</c:v>
                </c:pt>
                <c:pt idx="434">
                  <c:v>45497</c:v>
                </c:pt>
                <c:pt idx="435">
                  <c:v>45496</c:v>
                </c:pt>
                <c:pt idx="436">
                  <c:v>45495</c:v>
                </c:pt>
                <c:pt idx="437">
                  <c:v>45492</c:v>
                </c:pt>
                <c:pt idx="438">
                  <c:v>45491</c:v>
                </c:pt>
                <c:pt idx="439">
                  <c:v>45490</c:v>
                </c:pt>
                <c:pt idx="440">
                  <c:v>45489</c:v>
                </c:pt>
                <c:pt idx="441">
                  <c:v>45488</c:v>
                </c:pt>
                <c:pt idx="442">
                  <c:v>45485</c:v>
                </c:pt>
                <c:pt idx="443">
                  <c:v>45484</c:v>
                </c:pt>
                <c:pt idx="444">
                  <c:v>45483</c:v>
                </c:pt>
                <c:pt idx="445">
                  <c:v>45482</c:v>
                </c:pt>
                <c:pt idx="446">
                  <c:v>45481</c:v>
                </c:pt>
                <c:pt idx="447">
                  <c:v>45478</c:v>
                </c:pt>
                <c:pt idx="448">
                  <c:v>45476</c:v>
                </c:pt>
                <c:pt idx="449">
                  <c:v>45475</c:v>
                </c:pt>
                <c:pt idx="450">
                  <c:v>45474</c:v>
                </c:pt>
                <c:pt idx="451">
                  <c:v>45471</c:v>
                </c:pt>
                <c:pt idx="452">
                  <c:v>45470</c:v>
                </c:pt>
                <c:pt idx="453">
                  <c:v>45469</c:v>
                </c:pt>
                <c:pt idx="454">
                  <c:v>45468</c:v>
                </c:pt>
                <c:pt idx="455">
                  <c:v>45467</c:v>
                </c:pt>
                <c:pt idx="456">
                  <c:v>45464</c:v>
                </c:pt>
                <c:pt idx="457">
                  <c:v>45463</c:v>
                </c:pt>
                <c:pt idx="458">
                  <c:v>45461</c:v>
                </c:pt>
                <c:pt idx="459">
                  <c:v>45460</c:v>
                </c:pt>
                <c:pt idx="460">
                  <c:v>45457</c:v>
                </c:pt>
                <c:pt idx="461">
                  <c:v>45456</c:v>
                </c:pt>
                <c:pt idx="462">
                  <c:v>45456</c:v>
                </c:pt>
                <c:pt idx="463">
                  <c:v>45455</c:v>
                </c:pt>
                <c:pt idx="464">
                  <c:v>45454</c:v>
                </c:pt>
                <c:pt idx="465">
                  <c:v>45453</c:v>
                </c:pt>
                <c:pt idx="466">
                  <c:v>45450</c:v>
                </c:pt>
                <c:pt idx="467">
                  <c:v>45449</c:v>
                </c:pt>
                <c:pt idx="468">
                  <c:v>45448</c:v>
                </c:pt>
                <c:pt idx="469">
                  <c:v>45447</c:v>
                </c:pt>
                <c:pt idx="470">
                  <c:v>45446</c:v>
                </c:pt>
                <c:pt idx="471">
                  <c:v>45443</c:v>
                </c:pt>
                <c:pt idx="472">
                  <c:v>45442</c:v>
                </c:pt>
                <c:pt idx="473">
                  <c:v>45441</c:v>
                </c:pt>
                <c:pt idx="474">
                  <c:v>45440</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45379</c:v>
                </c:pt>
                <c:pt idx="516">
                  <c:v>45378</c:v>
                </c:pt>
                <c:pt idx="517">
                  <c:v>45377</c:v>
                </c:pt>
                <c:pt idx="518">
                  <c:v>45376</c:v>
                </c:pt>
                <c:pt idx="519">
                  <c:v>45373</c:v>
                </c:pt>
                <c:pt idx="520">
                  <c:v>45372</c:v>
                </c:pt>
                <c:pt idx="521">
                  <c:v>45371</c:v>
                </c:pt>
                <c:pt idx="522">
                  <c:v>45370</c:v>
                </c:pt>
                <c:pt idx="523">
                  <c:v>45369</c:v>
                </c:pt>
                <c:pt idx="524">
                  <c:v>45366</c:v>
                </c:pt>
                <c:pt idx="525">
                  <c:v>45365</c:v>
                </c:pt>
                <c:pt idx="526">
                  <c:v>45364</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45338</c:v>
                </c:pt>
                <c:pt idx="545">
                  <c:v>45337</c:v>
                </c:pt>
                <c:pt idx="546">
                  <c:v>45336</c:v>
                </c:pt>
                <c:pt idx="547">
                  <c:v>45335</c:v>
                </c:pt>
                <c:pt idx="548">
                  <c:v>45334</c:v>
                </c:pt>
                <c:pt idx="549">
                  <c:v>45331</c:v>
                </c:pt>
                <c:pt idx="550">
                  <c:v>45330</c:v>
                </c:pt>
                <c:pt idx="551">
                  <c:v>45329</c:v>
                </c:pt>
                <c:pt idx="552">
                  <c:v>45328</c:v>
                </c:pt>
                <c:pt idx="553">
                  <c:v>45327</c:v>
                </c:pt>
                <c:pt idx="554">
                  <c:v>45324</c:v>
                </c:pt>
                <c:pt idx="555">
                  <c:v>45323</c:v>
                </c:pt>
                <c:pt idx="556">
                  <c:v>45322</c:v>
                </c:pt>
                <c:pt idx="557">
                  <c:v>45321</c:v>
                </c:pt>
                <c:pt idx="558">
                  <c:v>45320</c:v>
                </c:pt>
                <c:pt idx="559">
                  <c:v>45317</c:v>
                </c:pt>
                <c:pt idx="560">
                  <c:v>45316</c:v>
                </c:pt>
                <c:pt idx="561">
                  <c:v>45315</c:v>
                </c:pt>
                <c:pt idx="562">
                  <c:v>45314</c:v>
                </c:pt>
                <c:pt idx="563">
                  <c:v>45313</c:v>
                </c:pt>
                <c:pt idx="564">
                  <c:v>45310</c:v>
                </c:pt>
                <c:pt idx="565">
                  <c:v>45309</c:v>
                </c:pt>
                <c:pt idx="566">
                  <c:v>45308</c:v>
                </c:pt>
                <c:pt idx="567">
                  <c:v>45307</c:v>
                </c:pt>
                <c:pt idx="568">
                  <c:v>45303</c:v>
                </c:pt>
                <c:pt idx="569">
                  <c:v>45302</c:v>
                </c:pt>
                <c:pt idx="570">
                  <c:v>45301</c:v>
                </c:pt>
                <c:pt idx="571">
                  <c:v>45300</c:v>
                </c:pt>
                <c:pt idx="572">
                  <c:v>45299</c:v>
                </c:pt>
                <c:pt idx="573">
                  <c:v>45296</c:v>
                </c:pt>
                <c:pt idx="574">
                  <c:v>45295</c:v>
                </c:pt>
                <c:pt idx="575">
                  <c:v>45294</c:v>
                </c:pt>
                <c:pt idx="576">
                  <c:v>45293</c:v>
                </c:pt>
                <c:pt idx="577">
                  <c:v>45289</c:v>
                </c:pt>
                <c:pt idx="578">
                  <c:v>45288</c:v>
                </c:pt>
                <c:pt idx="579">
                  <c:v>45287</c:v>
                </c:pt>
                <c:pt idx="580">
                  <c:v>45286</c:v>
                </c:pt>
                <c:pt idx="581">
                  <c:v>45282</c:v>
                </c:pt>
                <c:pt idx="582">
                  <c:v>45281</c:v>
                </c:pt>
                <c:pt idx="583">
                  <c:v>45280</c:v>
                </c:pt>
                <c:pt idx="584">
                  <c:v>45279</c:v>
                </c:pt>
                <c:pt idx="585">
                  <c:v>45278</c:v>
                </c:pt>
                <c:pt idx="586">
                  <c:v>45275</c:v>
                </c:pt>
                <c:pt idx="587">
                  <c:v>45274</c:v>
                </c:pt>
                <c:pt idx="588">
                  <c:v>45273</c:v>
                </c:pt>
                <c:pt idx="589">
                  <c:v>45272</c:v>
                </c:pt>
                <c:pt idx="590">
                  <c:v>45272</c:v>
                </c:pt>
                <c:pt idx="591">
                  <c:v>45271</c:v>
                </c:pt>
                <c:pt idx="592">
                  <c:v>45268</c:v>
                </c:pt>
                <c:pt idx="593">
                  <c:v>45267</c:v>
                </c:pt>
                <c:pt idx="594">
                  <c:v>45266</c:v>
                </c:pt>
                <c:pt idx="595">
                  <c:v>45265</c:v>
                </c:pt>
                <c:pt idx="596">
                  <c:v>45264</c:v>
                </c:pt>
                <c:pt idx="597">
                  <c:v>45261</c:v>
                </c:pt>
                <c:pt idx="598">
                  <c:v>45260</c:v>
                </c:pt>
                <c:pt idx="599">
                  <c:v>45259</c:v>
                </c:pt>
                <c:pt idx="600">
                  <c:v>45258</c:v>
                </c:pt>
                <c:pt idx="601">
                  <c:v>45257</c:v>
                </c:pt>
                <c:pt idx="602">
                  <c:v>45254</c:v>
                </c:pt>
                <c:pt idx="603">
                  <c:v>45252</c:v>
                </c:pt>
                <c:pt idx="604">
                  <c:v>45251</c:v>
                </c:pt>
                <c:pt idx="605">
                  <c:v>45250</c:v>
                </c:pt>
                <c:pt idx="606">
                  <c:v>45247</c:v>
                </c:pt>
                <c:pt idx="607">
                  <c:v>45246</c:v>
                </c:pt>
                <c:pt idx="608">
                  <c:v>45245</c:v>
                </c:pt>
                <c:pt idx="609">
                  <c:v>45244</c:v>
                </c:pt>
                <c:pt idx="610">
                  <c:v>45243</c:v>
                </c:pt>
                <c:pt idx="611">
                  <c:v>45240</c:v>
                </c:pt>
                <c:pt idx="612">
                  <c:v>45239</c:v>
                </c:pt>
                <c:pt idx="613">
                  <c:v>45238</c:v>
                </c:pt>
                <c:pt idx="614">
                  <c:v>45237</c:v>
                </c:pt>
                <c:pt idx="615">
                  <c:v>45236</c:v>
                </c:pt>
                <c:pt idx="616">
                  <c:v>45233</c:v>
                </c:pt>
                <c:pt idx="617">
                  <c:v>45232</c:v>
                </c:pt>
                <c:pt idx="618">
                  <c:v>45231</c:v>
                </c:pt>
                <c:pt idx="619">
                  <c:v>45230</c:v>
                </c:pt>
                <c:pt idx="620">
                  <c:v>45229</c:v>
                </c:pt>
                <c:pt idx="621">
                  <c:v>45226</c:v>
                </c:pt>
                <c:pt idx="622">
                  <c:v>45225</c:v>
                </c:pt>
                <c:pt idx="623">
                  <c:v>45224</c:v>
                </c:pt>
                <c:pt idx="624">
                  <c:v>45223</c:v>
                </c:pt>
                <c:pt idx="625">
                  <c:v>45222</c:v>
                </c:pt>
                <c:pt idx="626">
                  <c:v>45219</c:v>
                </c:pt>
                <c:pt idx="627">
                  <c:v>45218</c:v>
                </c:pt>
                <c:pt idx="628">
                  <c:v>45217</c:v>
                </c:pt>
                <c:pt idx="629">
                  <c:v>45216</c:v>
                </c:pt>
                <c:pt idx="630">
                  <c:v>45215</c:v>
                </c:pt>
                <c:pt idx="631">
                  <c:v>45212</c:v>
                </c:pt>
                <c:pt idx="632">
                  <c:v>45211</c:v>
                </c:pt>
                <c:pt idx="633">
                  <c:v>45210</c:v>
                </c:pt>
                <c:pt idx="634">
                  <c:v>45209</c:v>
                </c:pt>
                <c:pt idx="635">
                  <c:v>45208</c:v>
                </c:pt>
                <c:pt idx="636">
                  <c:v>45205</c:v>
                </c:pt>
                <c:pt idx="637">
                  <c:v>45204</c:v>
                </c:pt>
                <c:pt idx="638">
                  <c:v>45203</c:v>
                </c:pt>
                <c:pt idx="639">
                  <c:v>45202</c:v>
                </c:pt>
                <c:pt idx="640">
                  <c:v>45201</c:v>
                </c:pt>
                <c:pt idx="641">
                  <c:v>45198</c:v>
                </c:pt>
                <c:pt idx="642">
                  <c:v>45197</c:v>
                </c:pt>
                <c:pt idx="643">
                  <c:v>45196</c:v>
                </c:pt>
                <c:pt idx="644">
                  <c:v>45195</c:v>
                </c:pt>
                <c:pt idx="645">
                  <c:v>45194</c:v>
                </c:pt>
                <c:pt idx="646">
                  <c:v>45191</c:v>
                </c:pt>
                <c:pt idx="647">
                  <c:v>45190</c:v>
                </c:pt>
                <c:pt idx="648">
                  <c:v>45189</c:v>
                </c:pt>
                <c:pt idx="649">
                  <c:v>45188</c:v>
                </c:pt>
                <c:pt idx="650">
                  <c:v>45187</c:v>
                </c:pt>
                <c:pt idx="651">
                  <c:v>45184</c:v>
                </c:pt>
                <c:pt idx="652">
                  <c:v>45183</c:v>
                </c:pt>
                <c:pt idx="653">
                  <c:v>45182</c:v>
                </c:pt>
                <c:pt idx="654">
                  <c:v>45181</c:v>
                </c:pt>
                <c:pt idx="655">
                  <c:v>45180</c:v>
                </c:pt>
                <c:pt idx="656">
                  <c:v>45177</c:v>
                </c:pt>
                <c:pt idx="657">
                  <c:v>45176</c:v>
                </c:pt>
                <c:pt idx="658">
                  <c:v>45176</c:v>
                </c:pt>
                <c:pt idx="659">
                  <c:v>45175</c:v>
                </c:pt>
                <c:pt idx="660">
                  <c:v>45174</c:v>
                </c:pt>
                <c:pt idx="661">
                  <c:v>45170</c:v>
                </c:pt>
                <c:pt idx="662">
                  <c:v>45169</c:v>
                </c:pt>
                <c:pt idx="663">
                  <c:v>45168</c:v>
                </c:pt>
                <c:pt idx="664">
                  <c:v>45167</c:v>
                </c:pt>
                <c:pt idx="665">
                  <c:v>45166</c:v>
                </c:pt>
                <c:pt idx="666">
                  <c:v>45163</c:v>
                </c:pt>
                <c:pt idx="667">
                  <c:v>45162</c:v>
                </c:pt>
                <c:pt idx="668">
                  <c:v>45161</c:v>
                </c:pt>
                <c:pt idx="669">
                  <c:v>45160</c:v>
                </c:pt>
                <c:pt idx="670">
                  <c:v>45159</c:v>
                </c:pt>
                <c:pt idx="671">
                  <c:v>45156</c:v>
                </c:pt>
                <c:pt idx="672">
                  <c:v>45155</c:v>
                </c:pt>
                <c:pt idx="673">
                  <c:v>45154</c:v>
                </c:pt>
                <c:pt idx="674">
                  <c:v>45153</c:v>
                </c:pt>
                <c:pt idx="675">
                  <c:v>45152</c:v>
                </c:pt>
                <c:pt idx="676">
                  <c:v>45149</c:v>
                </c:pt>
                <c:pt idx="677">
                  <c:v>45148</c:v>
                </c:pt>
                <c:pt idx="678">
                  <c:v>45147</c:v>
                </c:pt>
                <c:pt idx="679">
                  <c:v>45146</c:v>
                </c:pt>
                <c:pt idx="680">
                  <c:v>45145</c:v>
                </c:pt>
                <c:pt idx="681">
                  <c:v>45142</c:v>
                </c:pt>
                <c:pt idx="682">
                  <c:v>45141</c:v>
                </c:pt>
                <c:pt idx="683">
                  <c:v>45140</c:v>
                </c:pt>
                <c:pt idx="684">
                  <c:v>45139</c:v>
                </c:pt>
                <c:pt idx="685">
                  <c:v>45138</c:v>
                </c:pt>
                <c:pt idx="686">
                  <c:v>45135</c:v>
                </c:pt>
                <c:pt idx="687">
                  <c:v>45134</c:v>
                </c:pt>
                <c:pt idx="688">
                  <c:v>45133</c:v>
                </c:pt>
                <c:pt idx="689">
                  <c:v>45132</c:v>
                </c:pt>
                <c:pt idx="690">
                  <c:v>45131</c:v>
                </c:pt>
                <c:pt idx="691">
                  <c:v>45128</c:v>
                </c:pt>
                <c:pt idx="692">
                  <c:v>45127</c:v>
                </c:pt>
                <c:pt idx="693">
                  <c:v>45126</c:v>
                </c:pt>
                <c:pt idx="694">
                  <c:v>45125</c:v>
                </c:pt>
                <c:pt idx="695">
                  <c:v>45124</c:v>
                </c:pt>
                <c:pt idx="696">
                  <c:v>45121</c:v>
                </c:pt>
                <c:pt idx="697">
                  <c:v>45120</c:v>
                </c:pt>
                <c:pt idx="698">
                  <c:v>45119</c:v>
                </c:pt>
                <c:pt idx="699">
                  <c:v>45118</c:v>
                </c:pt>
                <c:pt idx="700">
                  <c:v>45117</c:v>
                </c:pt>
                <c:pt idx="701">
                  <c:v>45114</c:v>
                </c:pt>
                <c:pt idx="702">
                  <c:v>45113</c:v>
                </c:pt>
                <c:pt idx="703">
                  <c:v>45112</c:v>
                </c:pt>
                <c:pt idx="704">
                  <c:v>45110</c:v>
                </c:pt>
                <c:pt idx="705">
                  <c:v>45107</c:v>
                </c:pt>
                <c:pt idx="706">
                  <c:v>45106</c:v>
                </c:pt>
                <c:pt idx="707">
                  <c:v>45105</c:v>
                </c:pt>
                <c:pt idx="708">
                  <c:v>45104</c:v>
                </c:pt>
                <c:pt idx="709">
                  <c:v>45103</c:v>
                </c:pt>
                <c:pt idx="710">
                  <c:v>45100</c:v>
                </c:pt>
                <c:pt idx="711">
                  <c:v>45099</c:v>
                </c:pt>
                <c:pt idx="712">
                  <c:v>45098</c:v>
                </c:pt>
                <c:pt idx="713">
                  <c:v>45097</c:v>
                </c:pt>
                <c:pt idx="714">
                  <c:v>45093</c:v>
                </c:pt>
                <c:pt idx="715">
                  <c:v>45092</c:v>
                </c:pt>
                <c:pt idx="716">
                  <c:v>45092</c:v>
                </c:pt>
                <c:pt idx="717">
                  <c:v>45091</c:v>
                </c:pt>
                <c:pt idx="718">
                  <c:v>45090</c:v>
                </c:pt>
                <c:pt idx="719">
                  <c:v>45089</c:v>
                </c:pt>
                <c:pt idx="720">
                  <c:v>45086</c:v>
                </c:pt>
                <c:pt idx="721">
                  <c:v>45085</c:v>
                </c:pt>
                <c:pt idx="722">
                  <c:v>45084</c:v>
                </c:pt>
                <c:pt idx="723">
                  <c:v>45083</c:v>
                </c:pt>
                <c:pt idx="724">
                  <c:v>45082</c:v>
                </c:pt>
                <c:pt idx="725">
                  <c:v>45079</c:v>
                </c:pt>
                <c:pt idx="726">
                  <c:v>45078</c:v>
                </c:pt>
                <c:pt idx="727">
                  <c:v>45077</c:v>
                </c:pt>
                <c:pt idx="728">
                  <c:v>45076</c:v>
                </c:pt>
                <c:pt idx="729">
                  <c:v>45072</c:v>
                </c:pt>
                <c:pt idx="730">
                  <c:v>45071</c:v>
                </c:pt>
                <c:pt idx="731">
                  <c:v>45070</c:v>
                </c:pt>
                <c:pt idx="732">
                  <c:v>45069</c:v>
                </c:pt>
                <c:pt idx="733">
                  <c:v>45068</c:v>
                </c:pt>
                <c:pt idx="734">
                  <c:v>45065</c:v>
                </c:pt>
                <c:pt idx="735">
                  <c:v>45064</c:v>
                </c:pt>
                <c:pt idx="736">
                  <c:v>45063</c:v>
                </c:pt>
                <c:pt idx="737">
                  <c:v>45062</c:v>
                </c:pt>
                <c:pt idx="738">
                  <c:v>45061</c:v>
                </c:pt>
                <c:pt idx="739">
                  <c:v>45058</c:v>
                </c:pt>
                <c:pt idx="740">
                  <c:v>45057</c:v>
                </c:pt>
                <c:pt idx="741">
                  <c:v>45056</c:v>
                </c:pt>
                <c:pt idx="742">
                  <c:v>45055</c:v>
                </c:pt>
                <c:pt idx="743">
                  <c:v>45054</c:v>
                </c:pt>
                <c:pt idx="744">
                  <c:v>45051</c:v>
                </c:pt>
                <c:pt idx="745">
                  <c:v>45050</c:v>
                </c:pt>
                <c:pt idx="746">
                  <c:v>45049</c:v>
                </c:pt>
                <c:pt idx="747">
                  <c:v>45048</c:v>
                </c:pt>
                <c:pt idx="748">
                  <c:v>45047</c:v>
                </c:pt>
                <c:pt idx="749">
                  <c:v>45044</c:v>
                </c:pt>
                <c:pt idx="750">
                  <c:v>45043</c:v>
                </c:pt>
                <c:pt idx="751">
                  <c:v>45042</c:v>
                </c:pt>
                <c:pt idx="752">
                  <c:v>45041</c:v>
                </c:pt>
                <c:pt idx="753">
                  <c:v>45040</c:v>
                </c:pt>
                <c:pt idx="754">
                  <c:v>45037</c:v>
                </c:pt>
                <c:pt idx="755">
                  <c:v>45036</c:v>
                </c:pt>
                <c:pt idx="756">
                  <c:v>45035</c:v>
                </c:pt>
                <c:pt idx="757">
                  <c:v>45034</c:v>
                </c:pt>
                <c:pt idx="758">
                  <c:v>45033</c:v>
                </c:pt>
                <c:pt idx="759">
                  <c:v>45030</c:v>
                </c:pt>
                <c:pt idx="760">
                  <c:v>45029</c:v>
                </c:pt>
                <c:pt idx="761">
                  <c:v>45028</c:v>
                </c:pt>
                <c:pt idx="762">
                  <c:v>45027</c:v>
                </c:pt>
                <c:pt idx="763">
                  <c:v>45026</c:v>
                </c:pt>
                <c:pt idx="764">
                  <c:v>45022</c:v>
                </c:pt>
                <c:pt idx="765">
                  <c:v>45021</c:v>
                </c:pt>
                <c:pt idx="766">
                  <c:v>45020</c:v>
                </c:pt>
                <c:pt idx="767">
                  <c:v>45019</c:v>
                </c:pt>
                <c:pt idx="768">
                  <c:v>45016</c:v>
                </c:pt>
                <c:pt idx="769">
                  <c:v>45015</c:v>
                </c:pt>
                <c:pt idx="770">
                  <c:v>45014</c:v>
                </c:pt>
                <c:pt idx="771">
                  <c:v>45013</c:v>
                </c:pt>
                <c:pt idx="772">
                  <c:v>45012</c:v>
                </c:pt>
                <c:pt idx="773">
                  <c:v>45009</c:v>
                </c:pt>
                <c:pt idx="774">
                  <c:v>45008</c:v>
                </c:pt>
                <c:pt idx="775">
                  <c:v>45007</c:v>
                </c:pt>
                <c:pt idx="776">
                  <c:v>45006</c:v>
                </c:pt>
                <c:pt idx="777">
                  <c:v>45005</c:v>
                </c:pt>
                <c:pt idx="778">
                  <c:v>45002</c:v>
                </c:pt>
                <c:pt idx="779">
                  <c:v>45001</c:v>
                </c:pt>
                <c:pt idx="780">
                  <c:v>45001</c:v>
                </c:pt>
                <c:pt idx="781">
                  <c:v>45000</c:v>
                </c:pt>
                <c:pt idx="782">
                  <c:v>44999</c:v>
                </c:pt>
                <c:pt idx="783">
                  <c:v>44998</c:v>
                </c:pt>
                <c:pt idx="784">
                  <c:v>44995</c:v>
                </c:pt>
                <c:pt idx="785">
                  <c:v>44994</c:v>
                </c:pt>
                <c:pt idx="786">
                  <c:v>44993</c:v>
                </c:pt>
                <c:pt idx="787">
                  <c:v>44992</c:v>
                </c:pt>
                <c:pt idx="788">
                  <c:v>44991</c:v>
                </c:pt>
                <c:pt idx="789">
                  <c:v>44988</c:v>
                </c:pt>
                <c:pt idx="790">
                  <c:v>44987</c:v>
                </c:pt>
                <c:pt idx="791">
                  <c:v>44986</c:v>
                </c:pt>
                <c:pt idx="792">
                  <c:v>44985</c:v>
                </c:pt>
                <c:pt idx="793">
                  <c:v>44984</c:v>
                </c:pt>
                <c:pt idx="794">
                  <c:v>44981</c:v>
                </c:pt>
                <c:pt idx="795">
                  <c:v>44980</c:v>
                </c:pt>
                <c:pt idx="796">
                  <c:v>44979</c:v>
                </c:pt>
                <c:pt idx="797">
                  <c:v>44978</c:v>
                </c:pt>
                <c:pt idx="798">
                  <c:v>44974</c:v>
                </c:pt>
                <c:pt idx="799">
                  <c:v>44973</c:v>
                </c:pt>
                <c:pt idx="800">
                  <c:v>44972</c:v>
                </c:pt>
                <c:pt idx="801">
                  <c:v>44971</c:v>
                </c:pt>
                <c:pt idx="802">
                  <c:v>44970</c:v>
                </c:pt>
                <c:pt idx="803">
                  <c:v>44967</c:v>
                </c:pt>
                <c:pt idx="804">
                  <c:v>44966</c:v>
                </c:pt>
                <c:pt idx="805">
                  <c:v>44965</c:v>
                </c:pt>
                <c:pt idx="806">
                  <c:v>44964</c:v>
                </c:pt>
                <c:pt idx="807">
                  <c:v>44963</c:v>
                </c:pt>
                <c:pt idx="808">
                  <c:v>44960</c:v>
                </c:pt>
                <c:pt idx="809">
                  <c:v>44959</c:v>
                </c:pt>
                <c:pt idx="810">
                  <c:v>44958</c:v>
                </c:pt>
                <c:pt idx="811">
                  <c:v>44957</c:v>
                </c:pt>
                <c:pt idx="812">
                  <c:v>44956</c:v>
                </c:pt>
                <c:pt idx="813">
                  <c:v>44953</c:v>
                </c:pt>
                <c:pt idx="814">
                  <c:v>44952</c:v>
                </c:pt>
                <c:pt idx="815">
                  <c:v>44951</c:v>
                </c:pt>
                <c:pt idx="816">
                  <c:v>44950</c:v>
                </c:pt>
                <c:pt idx="817">
                  <c:v>44949</c:v>
                </c:pt>
                <c:pt idx="818">
                  <c:v>44946</c:v>
                </c:pt>
                <c:pt idx="819">
                  <c:v>44945</c:v>
                </c:pt>
                <c:pt idx="820">
                  <c:v>44944</c:v>
                </c:pt>
                <c:pt idx="821">
                  <c:v>44943</c:v>
                </c:pt>
                <c:pt idx="822">
                  <c:v>44939</c:v>
                </c:pt>
                <c:pt idx="823">
                  <c:v>44938</c:v>
                </c:pt>
                <c:pt idx="824">
                  <c:v>44937</c:v>
                </c:pt>
                <c:pt idx="825">
                  <c:v>44936</c:v>
                </c:pt>
                <c:pt idx="826">
                  <c:v>44935</c:v>
                </c:pt>
                <c:pt idx="827">
                  <c:v>44932</c:v>
                </c:pt>
                <c:pt idx="828">
                  <c:v>44931</c:v>
                </c:pt>
                <c:pt idx="829">
                  <c:v>44930</c:v>
                </c:pt>
                <c:pt idx="830">
                  <c:v>44929</c:v>
                </c:pt>
                <c:pt idx="831">
                  <c:v>44925</c:v>
                </c:pt>
                <c:pt idx="832">
                  <c:v>44924</c:v>
                </c:pt>
                <c:pt idx="833">
                  <c:v>44923</c:v>
                </c:pt>
                <c:pt idx="834">
                  <c:v>44922</c:v>
                </c:pt>
                <c:pt idx="835">
                  <c:v>44918</c:v>
                </c:pt>
                <c:pt idx="836">
                  <c:v>44917</c:v>
                </c:pt>
                <c:pt idx="837">
                  <c:v>44916</c:v>
                </c:pt>
                <c:pt idx="838">
                  <c:v>44915</c:v>
                </c:pt>
                <c:pt idx="839">
                  <c:v>44914</c:v>
                </c:pt>
                <c:pt idx="840">
                  <c:v>44911</c:v>
                </c:pt>
                <c:pt idx="841">
                  <c:v>44910</c:v>
                </c:pt>
                <c:pt idx="842">
                  <c:v>44909</c:v>
                </c:pt>
                <c:pt idx="843">
                  <c:v>44908</c:v>
                </c:pt>
                <c:pt idx="844">
                  <c:v>44907</c:v>
                </c:pt>
                <c:pt idx="845">
                  <c:v>44904</c:v>
                </c:pt>
                <c:pt idx="846">
                  <c:v>44903</c:v>
                </c:pt>
                <c:pt idx="847">
                  <c:v>44902</c:v>
                </c:pt>
                <c:pt idx="848">
                  <c:v>44901</c:v>
                </c:pt>
                <c:pt idx="849">
                  <c:v>44900</c:v>
                </c:pt>
                <c:pt idx="850">
                  <c:v>44897</c:v>
                </c:pt>
                <c:pt idx="851">
                  <c:v>44896</c:v>
                </c:pt>
                <c:pt idx="852">
                  <c:v>44895</c:v>
                </c:pt>
                <c:pt idx="853">
                  <c:v>44894</c:v>
                </c:pt>
                <c:pt idx="854">
                  <c:v>44894</c:v>
                </c:pt>
                <c:pt idx="855">
                  <c:v>44893</c:v>
                </c:pt>
                <c:pt idx="856">
                  <c:v>44890</c:v>
                </c:pt>
                <c:pt idx="857">
                  <c:v>44888</c:v>
                </c:pt>
                <c:pt idx="858">
                  <c:v>44887</c:v>
                </c:pt>
                <c:pt idx="859">
                  <c:v>44886</c:v>
                </c:pt>
                <c:pt idx="860">
                  <c:v>44883</c:v>
                </c:pt>
                <c:pt idx="861">
                  <c:v>44882</c:v>
                </c:pt>
                <c:pt idx="862">
                  <c:v>44881</c:v>
                </c:pt>
                <c:pt idx="863">
                  <c:v>44880</c:v>
                </c:pt>
                <c:pt idx="864">
                  <c:v>44879</c:v>
                </c:pt>
                <c:pt idx="865">
                  <c:v>44876</c:v>
                </c:pt>
                <c:pt idx="866">
                  <c:v>44875</c:v>
                </c:pt>
                <c:pt idx="867">
                  <c:v>44874</c:v>
                </c:pt>
                <c:pt idx="868">
                  <c:v>44873</c:v>
                </c:pt>
                <c:pt idx="869">
                  <c:v>44872</c:v>
                </c:pt>
                <c:pt idx="870">
                  <c:v>44869</c:v>
                </c:pt>
                <c:pt idx="871">
                  <c:v>44868</c:v>
                </c:pt>
                <c:pt idx="872">
                  <c:v>44867</c:v>
                </c:pt>
                <c:pt idx="873">
                  <c:v>44866</c:v>
                </c:pt>
                <c:pt idx="874">
                  <c:v>44865</c:v>
                </c:pt>
                <c:pt idx="875">
                  <c:v>44862</c:v>
                </c:pt>
                <c:pt idx="876">
                  <c:v>44861</c:v>
                </c:pt>
                <c:pt idx="877">
                  <c:v>44860</c:v>
                </c:pt>
                <c:pt idx="878">
                  <c:v>44859</c:v>
                </c:pt>
                <c:pt idx="879">
                  <c:v>44858</c:v>
                </c:pt>
                <c:pt idx="880">
                  <c:v>44855</c:v>
                </c:pt>
                <c:pt idx="881">
                  <c:v>44854</c:v>
                </c:pt>
                <c:pt idx="882">
                  <c:v>44853</c:v>
                </c:pt>
                <c:pt idx="883">
                  <c:v>44852</c:v>
                </c:pt>
                <c:pt idx="884">
                  <c:v>44851</c:v>
                </c:pt>
                <c:pt idx="885">
                  <c:v>44848</c:v>
                </c:pt>
                <c:pt idx="886">
                  <c:v>44847</c:v>
                </c:pt>
                <c:pt idx="887">
                  <c:v>44846</c:v>
                </c:pt>
                <c:pt idx="888">
                  <c:v>44845</c:v>
                </c:pt>
                <c:pt idx="889">
                  <c:v>44844</c:v>
                </c:pt>
                <c:pt idx="890">
                  <c:v>44841</c:v>
                </c:pt>
                <c:pt idx="891">
                  <c:v>44840</c:v>
                </c:pt>
                <c:pt idx="892">
                  <c:v>44839</c:v>
                </c:pt>
                <c:pt idx="893">
                  <c:v>44838</c:v>
                </c:pt>
                <c:pt idx="894">
                  <c:v>44837</c:v>
                </c:pt>
                <c:pt idx="895">
                  <c:v>44834</c:v>
                </c:pt>
                <c:pt idx="896">
                  <c:v>44833</c:v>
                </c:pt>
                <c:pt idx="897">
                  <c:v>44832</c:v>
                </c:pt>
                <c:pt idx="898">
                  <c:v>44831</c:v>
                </c:pt>
                <c:pt idx="899">
                  <c:v>44830</c:v>
                </c:pt>
                <c:pt idx="900">
                  <c:v>44827</c:v>
                </c:pt>
                <c:pt idx="901">
                  <c:v>44826</c:v>
                </c:pt>
                <c:pt idx="902">
                  <c:v>44825</c:v>
                </c:pt>
                <c:pt idx="903">
                  <c:v>44824</c:v>
                </c:pt>
                <c:pt idx="904">
                  <c:v>44823</c:v>
                </c:pt>
                <c:pt idx="905">
                  <c:v>44820</c:v>
                </c:pt>
                <c:pt idx="906">
                  <c:v>44819</c:v>
                </c:pt>
                <c:pt idx="907">
                  <c:v>44818</c:v>
                </c:pt>
                <c:pt idx="908">
                  <c:v>44817</c:v>
                </c:pt>
                <c:pt idx="909">
                  <c:v>44816</c:v>
                </c:pt>
                <c:pt idx="910">
                  <c:v>44813</c:v>
                </c:pt>
                <c:pt idx="911">
                  <c:v>44812</c:v>
                </c:pt>
                <c:pt idx="912">
                  <c:v>44812</c:v>
                </c:pt>
                <c:pt idx="913">
                  <c:v>44811</c:v>
                </c:pt>
                <c:pt idx="914">
                  <c:v>44810</c:v>
                </c:pt>
                <c:pt idx="915">
                  <c:v>44806</c:v>
                </c:pt>
                <c:pt idx="916">
                  <c:v>44805</c:v>
                </c:pt>
                <c:pt idx="917">
                  <c:v>44804</c:v>
                </c:pt>
                <c:pt idx="918">
                  <c:v>44803</c:v>
                </c:pt>
                <c:pt idx="919">
                  <c:v>44802</c:v>
                </c:pt>
                <c:pt idx="920">
                  <c:v>44799</c:v>
                </c:pt>
                <c:pt idx="921">
                  <c:v>44798</c:v>
                </c:pt>
                <c:pt idx="922">
                  <c:v>44797</c:v>
                </c:pt>
                <c:pt idx="923">
                  <c:v>44796</c:v>
                </c:pt>
                <c:pt idx="924">
                  <c:v>44795</c:v>
                </c:pt>
                <c:pt idx="925">
                  <c:v>44792</c:v>
                </c:pt>
                <c:pt idx="926">
                  <c:v>44791</c:v>
                </c:pt>
                <c:pt idx="927">
                  <c:v>44790</c:v>
                </c:pt>
                <c:pt idx="928">
                  <c:v>44789</c:v>
                </c:pt>
                <c:pt idx="929">
                  <c:v>44788</c:v>
                </c:pt>
                <c:pt idx="930">
                  <c:v>44785</c:v>
                </c:pt>
                <c:pt idx="931">
                  <c:v>44784</c:v>
                </c:pt>
                <c:pt idx="932">
                  <c:v>44783</c:v>
                </c:pt>
                <c:pt idx="933">
                  <c:v>44782</c:v>
                </c:pt>
                <c:pt idx="934">
                  <c:v>44781</c:v>
                </c:pt>
                <c:pt idx="935">
                  <c:v>44778</c:v>
                </c:pt>
                <c:pt idx="936">
                  <c:v>44777</c:v>
                </c:pt>
                <c:pt idx="937">
                  <c:v>44776</c:v>
                </c:pt>
                <c:pt idx="938">
                  <c:v>44775</c:v>
                </c:pt>
                <c:pt idx="939">
                  <c:v>44774</c:v>
                </c:pt>
                <c:pt idx="940">
                  <c:v>44771</c:v>
                </c:pt>
                <c:pt idx="941">
                  <c:v>44770</c:v>
                </c:pt>
                <c:pt idx="942">
                  <c:v>44769</c:v>
                </c:pt>
                <c:pt idx="943">
                  <c:v>44768</c:v>
                </c:pt>
                <c:pt idx="944">
                  <c:v>44767</c:v>
                </c:pt>
                <c:pt idx="945">
                  <c:v>44764</c:v>
                </c:pt>
                <c:pt idx="946">
                  <c:v>44763</c:v>
                </c:pt>
                <c:pt idx="947">
                  <c:v>44762</c:v>
                </c:pt>
                <c:pt idx="948">
                  <c:v>44761</c:v>
                </c:pt>
                <c:pt idx="949">
                  <c:v>44760</c:v>
                </c:pt>
                <c:pt idx="950">
                  <c:v>44757</c:v>
                </c:pt>
                <c:pt idx="951">
                  <c:v>44756</c:v>
                </c:pt>
                <c:pt idx="952">
                  <c:v>44755</c:v>
                </c:pt>
                <c:pt idx="953">
                  <c:v>44754</c:v>
                </c:pt>
                <c:pt idx="954">
                  <c:v>44753</c:v>
                </c:pt>
                <c:pt idx="955">
                  <c:v>44750</c:v>
                </c:pt>
                <c:pt idx="956">
                  <c:v>44749</c:v>
                </c:pt>
                <c:pt idx="957">
                  <c:v>44748</c:v>
                </c:pt>
                <c:pt idx="958">
                  <c:v>44747</c:v>
                </c:pt>
                <c:pt idx="959">
                  <c:v>44743</c:v>
                </c:pt>
                <c:pt idx="960">
                  <c:v>44742</c:v>
                </c:pt>
                <c:pt idx="961">
                  <c:v>44741</c:v>
                </c:pt>
                <c:pt idx="962">
                  <c:v>44740</c:v>
                </c:pt>
                <c:pt idx="963">
                  <c:v>44739</c:v>
                </c:pt>
                <c:pt idx="964">
                  <c:v>44736</c:v>
                </c:pt>
                <c:pt idx="965">
                  <c:v>44735</c:v>
                </c:pt>
                <c:pt idx="966">
                  <c:v>44734</c:v>
                </c:pt>
                <c:pt idx="967">
                  <c:v>44733</c:v>
                </c:pt>
                <c:pt idx="968">
                  <c:v>44729</c:v>
                </c:pt>
                <c:pt idx="969">
                  <c:v>44728</c:v>
                </c:pt>
                <c:pt idx="970">
                  <c:v>44728</c:v>
                </c:pt>
                <c:pt idx="971">
                  <c:v>44727</c:v>
                </c:pt>
                <c:pt idx="972">
                  <c:v>44726</c:v>
                </c:pt>
                <c:pt idx="973">
                  <c:v>44725</c:v>
                </c:pt>
                <c:pt idx="974">
                  <c:v>44722</c:v>
                </c:pt>
                <c:pt idx="975">
                  <c:v>44721</c:v>
                </c:pt>
                <c:pt idx="976">
                  <c:v>44720</c:v>
                </c:pt>
                <c:pt idx="977">
                  <c:v>44719</c:v>
                </c:pt>
                <c:pt idx="978">
                  <c:v>44718</c:v>
                </c:pt>
                <c:pt idx="979">
                  <c:v>44715</c:v>
                </c:pt>
                <c:pt idx="980">
                  <c:v>44714</c:v>
                </c:pt>
                <c:pt idx="981">
                  <c:v>44713</c:v>
                </c:pt>
                <c:pt idx="982">
                  <c:v>44712</c:v>
                </c:pt>
                <c:pt idx="983">
                  <c:v>44708</c:v>
                </c:pt>
                <c:pt idx="984">
                  <c:v>44707</c:v>
                </c:pt>
                <c:pt idx="985">
                  <c:v>44706</c:v>
                </c:pt>
                <c:pt idx="986">
                  <c:v>44705</c:v>
                </c:pt>
                <c:pt idx="987">
                  <c:v>44704</c:v>
                </c:pt>
                <c:pt idx="988">
                  <c:v>44701</c:v>
                </c:pt>
                <c:pt idx="989">
                  <c:v>44700</c:v>
                </c:pt>
                <c:pt idx="990">
                  <c:v>44699</c:v>
                </c:pt>
                <c:pt idx="991">
                  <c:v>44698</c:v>
                </c:pt>
                <c:pt idx="992">
                  <c:v>44697</c:v>
                </c:pt>
                <c:pt idx="993">
                  <c:v>44694</c:v>
                </c:pt>
                <c:pt idx="994">
                  <c:v>44693</c:v>
                </c:pt>
                <c:pt idx="995">
                  <c:v>44692</c:v>
                </c:pt>
                <c:pt idx="996">
                  <c:v>44691</c:v>
                </c:pt>
                <c:pt idx="997">
                  <c:v>44690</c:v>
                </c:pt>
                <c:pt idx="998">
                  <c:v>44687</c:v>
                </c:pt>
                <c:pt idx="999">
                  <c:v>44686</c:v>
                </c:pt>
                <c:pt idx="1000">
                  <c:v>44685</c:v>
                </c:pt>
                <c:pt idx="1001">
                  <c:v>44684</c:v>
                </c:pt>
                <c:pt idx="1002">
                  <c:v>44683</c:v>
                </c:pt>
                <c:pt idx="1003">
                  <c:v>44680</c:v>
                </c:pt>
                <c:pt idx="1004">
                  <c:v>44679</c:v>
                </c:pt>
                <c:pt idx="1005">
                  <c:v>44678</c:v>
                </c:pt>
                <c:pt idx="1006">
                  <c:v>44677</c:v>
                </c:pt>
                <c:pt idx="1007">
                  <c:v>44676</c:v>
                </c:pt>
                <c:pt idx="1008">
                  <c:v>44673</c:v>
                </c:pt>
                <c:pt idx="1009">
                  <c:v>44672</c:v>
                </c:pt>
                <c:pt idx="1010">
                  <c:v>44671</c:v>
                </c:pt>
                <c:pt idx="1011">
                  <c:v>44670</c:v>
                </c:pt>
                <c:pt idx="1012">
                  <c:v>44669</c:v>
                </c:pt>
                <c:pt idx="1013">
                  <c:v>44665</c:v>
                </c:pt>
                <c:pt idx="1014">
                  <c:v>44664</c:v>
                </c:pt>
                <c:pt idx="1015">
                  <c:v>44663</c:v>
                </c:pt>
                <c:pt idx="1016">
                  <c:v>44662</c:v>
                </c:pt>
                <c:pt idx="1017">
                  <c:v>44659</c:v>
                </c:pt>
              </c:numCache>
            </c:numRef>
          </c:cat>
          <c:val>
            <c:numRef>
              <c:f>'Share Prices'!$A$2:$A$1019</c:f>
              <c:numCache>
                <c:formatCode>m/d/yyyy</c:formatCode>
                <c:ptCount val="1018"/>
                <c:pt idx="0">
                  <c:v>46120</c:v>
                </c:pt>
                <c:pt idx="1">
                  <c:v>46119</c:v>
                </c:pt>
                <c:pt idx="2">
                  <c:v>46118</c:v>
                </c:pt>
                <c:pt idx="3">
                  <c:v>46114</c:v>
                </c:pt>
                <c:pt idx="4">
                  <c:v>46113</c:v>
                </c:pt>
                <c:pt idx="5">
                  <c:v>46112</c:v>
                </c:pt>
                <c:pt idx="6">
                  <c:v>46111</c:v>
                </c:pt>
                <c:pt idx="7">
                  <c:v>46108</c:v>
                </c:pt>
                <c:pt idx="8">
                  <c:v>46107</c:v>
                </c:pt>
                <c:pt idx="9">
                  <c:v>46106</c:v>
                </c:pt>
                <c:pt idx="10">
                  <c:v>46105</c:v>
                </c:pt>
                <c:pt idx="11">
                  <c:v>46104</c:v>
                </c:pt>
                <c:pt idx="12">
                  <c:v>46101</c:v>
                </c:pt>
                <c:pt idx="13">
                  <c:v>46100</c:v>
                </c:pt>
                <c:pt idx="14">
                  <c:v>46099</c:v>
                </c:pt>
                <c:pt idx="15">
                  <c:v>46098</c:v>
                </c:pt>
                <c:pt idx="16">
                  <c:v>46097</c:v>
                </c:pt>
                <c:pt idx="17">
                  <c:v>46094</c:v>
                </c:pt>
                <c:pt idx="18">
                  <c:v>46093</c:v>
                </c:pt>
                <c:pt idx="19">
                  <c:v>46093</c:v>
                </c:pt>
                <c:pt idx="20">
                  <c:v>46092</c:v>
                </c:pt>
                <c:pt idx="21">
                  <c:v>46091</c:v>
                </c:pt>
                <c:pt idx="22">
                  <c:v>46090</c:v>
                </c:pt>
                <c:pt idx="23">
                  <c:v>46087</c:v>
                </c:pt>
                <c:pt idx="24">
                  <c:v>46086</c:v>
                </c:pt>
                <c:pt idx="25">
                  <c:v>46085</c:v>
                </c:pt>
                <c:pt idx="26">
                  <c:v>46084</c:v>
                </c:pt>
                <c:pt idx="27">
                  <c:v>46083</c:v>
                </c:pt>
                <c:pt idx="28">
                  <c:v>46080</c:v>
                </c:pt>
                <c:pt idx="29">
                  <c:v>46079</c:v>
                </c:pt>
                <c:pt idx="30">
                  <c:v>46078</c:v>
                </c:pt>
                <c:pt idx="31">
                  <c:v>46077</c:v>
                </c:pt>
                <c:pt idx="32">
                  <c:v>46076</c:v>
                </c:pt>
                <c:pt idx="33">
                  <c:v>46073</c:v>
                </c:pt>
                <c:pt idx="34">
                  <c:v>46072</c:v>
                </c:pt>
                <c:pt idx="35">
                  <c:v>46071</c:v>
                </c:pt>
                <c:pt idx="36">
                  <c:v>46070</c:v>
                </c:pt>
                <c:pt idx="37">
                  <c:v>46066</c:v>
                </c:pt>
                <c:pt idx="38">
                  <c:v>46065</c:v>
                </c:pt>
                <c:pt idx="39">
                  <c:v>46064</c:v>
                </c:pt>
                <c:pt idx="40">
                  <c:v>46063</c:v>
                </c:pt>
                <c:pt idx="41">
                  <c:v>46062</c:v>
                </c:pt>
                <c:pt idx="42">
                  <c:v>46059</c:v>
                </c:pt>
                <c:pt idx="43">
                  <c:v>46058</c:v>
                </c:pt>
                <c:pt idx="44">
                  <c:v>46057</c:v>
                </c:pt>
                <c:pt idx="45">
                  <c:v>46056</c:v>
                </c:pt>
                <c:pt idx="46">
                  <c:v>46055</c:v>
                </c:pt>
                <c:pt idx="47">
                  <c:v>46052</c:v>
                </c:pt>
                <c:pt idx="48">
                  <c:v>46051</c:v>
                </c:pt>
                <c:pt idx="49">
                  <c:v>46050</c:v>
                </c:pt>
                <c:pt idx="50">
                  <c:v>46049</c:v>
                </c:pt>
                <c:pt idx="51">
                  <c:v>46048</c:v>
                </c:pt>
                <c:pt idx="52">
                  <c:v>46045</c:v>
                </c:pt>
                <c:pt idx="53">
                  <c:v>46044</c:v>
                </c:pt>
                <c:pt idx="54">
                  <c:v>46043</c:v>
                </c:pt>
                <c:pt idx="55">
                  <c:v>46042</c:v>
                </c:pt>
                <c:pt idx="56">
                  <c:v>46038</c:v>
                </c:pt>
                <c:pt idx="57">
                  <c:v>46037</c:v>
                </c:pt>
                <c:pt idx="58">
                  <c:v>46036</c:v>
                </c:pt>
                <c:pt idx="59">
                  <c:v>46035</c:v>
                </c:pt>
                <c:pt idx="60">
                  <c:v>46034</c:v>
                </c:pt>
                <c:pt idx="61">
                  <c:v>46031</c:v>
                </c:pt>
                <c:pt idx="62">
                  <c:v>46030</c:v>
                </c:pt>
                <c:pt idx="63">
                  <c:v>46029</c:v>
                </c:pt>
                <c:pt idx="64">
                  <c:v>46028</c:v>
                </c:pt>
                <c:pt idx="65">
                  <c:v>46027</c:v>
                </c:pt>
                <c:pt idx="66">
                  <c:v>46024</c:v>
                </c:pt>
                <c:pt idx="67">
                  <c:v>46022</c:v>
                </c:pt>
                <c:pt idx="68">
                  <c:v>46021</c:v>
                </c:pt>
                <c:pt idx="69">
                  <c:v>46020</c:v>
                </c:pt>
                <c:pt idx="70">
                  <c:v>46017</c:v>
                </c:pt>
                <c:pt idx="71">
                  <c:v>46015</c:v>
                </c:pt>
                <c:pt idx="72">
                  <c:v>46014</c:v>
                </c:pt>
                <c:pt idx="73">
                  <c:v>46013</c:v>
                </c:pt>
                <c:pt idx="74">
                  <c:v>46010</c:v>
                </c:pt>
                <c:pt idx="75">
                  <c:v>46009</c:v>
                </c:pt>
                <c:pt idx="76">
                  <c:v>46008</c:v>
                </c:pt>
                <c:pt idx="77">
                  <c:v>46007</c:v>
                </c:pt>
                <c:pt idx="78">
                  <c:v>46006</c:v>
                </c:pt>
                <c:pt idx="79">
                  <c:v>46003</c:v>
                </c:pt>
                <c:pt idx="80">
                  <c:v>46002</c:v>
                </c:pt>
                <c:pt idx="81">
                  <c:v>46001</c:v>
                </c:pt>
                <c:pt idx="82">
                  <c:v>46000</c:v>
                </c:pt>
                <c:pt idx="83">
                  <c:v>45999</c:v>
                </c:pt>
                <c:pt idx="84">
                  <c:v>45996</c:v>
                </c:pt>
                <c:pt idx="85">
                  <c:v>45995</c:v>
                </c:pt>
                <c:pt idx="86">
                  <c:v>45994</c:v>
                </c:pt>
                <c:pt idx="87">
                  <c:v>45994</c:v>
                </c:pt>
                <c:pt idx="88">
                  <c:v>45993</c:v>
                </c:pt>
                <c:pt idx="89">
                  <c:v>45992</c:v>
                </c:pt>
                <c:pt idx="90">
                  <c:v>45989</c:v>
                </c:pt>
                <c:pt idx="91">
                  <c:v>45987</c:v>
                </c:pt>
                <c:pt idx="92">
                  <c:v>45986</c:v>
                </c:pt>
                <c:pt idx="93">
                  <c:v>45985</c:v>
                </c:pt>
                <c:pt idx="94">
                  <c:v>45982</c:v>
                </c:pt>
                <c:pt idx="95">
                  <c:v>45981</c:v>
                </c:pt>
                <c:pt idx="96">
                  <c:v>45980</c:v>
                </c:pt>
                <c:pt idx="97">
                  <c:v>45979</c:v>
                </c:pt>
                <c:pt idx="98">
                  <c:v>45978</c:v>
                </c:pt>
                <c:pt idx="99">
                  <c:v>45975</c:v>
                </c:pt>
                <c:pt idx="100">
                  <c:v>45974</c:v>
                </c:pt>
                <c:pt idx="101">
                  <c:v>45973</c:v>
                </c:pt>
                <c:pt idx="102">
                  <c:v>45972</c:v>
                </c:pt>
                <c:pt idx="103">
                  <c:v>45971</c:v>
                </c:pt>
                <c:pt idx="104">
                  <c:v>45968</c:v>
                </c:pt>
                <c:pt idx="105">
                  <c:v>45967</c:v>
                </c:pt>
                <c:pt idx="106">
                  <c:v>45966</c:v>
                </c:pt>
                <c:pt idx="107">
                  <c:v>45965</c:v>
                </c:pt>
                <c:pt idx="108">
                  <c:v>45964</c:v>
                </c:pt>
                <c:pt idx="109">
                  <c:v>45961</c:v>
                </c:pt>
                <c:pt idx="110">
                  <c:v>45960</c:v>
                </c:pt>
                <c:pt idx="111">
                  <c:v>45959</c:v>
                </c:pt>
                <c:pt idx="112">
                  <c:v>45958</c:v>
                </c:pt>
                <c:pt idx="113">
                  <c:v>45957</c:v>
                </c:pt>
                <c:pt idx="114">
                  <c:v>45954</c:v>
                </c:pt>
                <c:pt idx="115">
                  <c:v>45953</c:v>
                </c:pt>
                <c:pt idx="116">
                  <c:v>45952</c:v>
                </c:pt>
                <c:pt idx="117">
                  <c:v>45951</c:v>
                </c:pt>
                <c:pt idx="118">
                  <c:v>45950</c:v>
                </c:pt>
                <c:pt idx="119">
                  <c:v>45947</c:v>
                </c:pt>
                <c:pt idx="120">
                  <c:v>45946</c:v>
                </c:pt>
                <c:pt idx="121">
                  <c:v>45945</c:v>
                </c:pt>
                <c:pt idx="122">
                  <c:v>45944</c:v>
                </c:pt>
                <c:pt idx="123">
                  <c:v>45943</c:v>
                </c:pt>
                <c:pt idx="124">
                  <c:v>45940</c:v>
                </c:pt>
                <c:pt idx="125">
                  <c:v>45939</c:v>
                </c:pt>
                <c:pt idx="126">
                  <c:v>45938</c:v>
                </c:pt>
                <c:pt idx="127">
                  <c:v>45937</c:v>
                </c:pt>
                <c:pt idx="128">
                  <c:v>45936</c:v>
                </c:pt>
                <c:pt idx="129">
                  <c:v>45933</c:v>
                </c:pt>
                <c:pt idx="130">
                  <c:v>45932</c:v>
                </c:pt>
                <c:pt idx="131">
                  <c:v>45931</c:v>
                </c:pt>
                <c:pt idx="132">
                  <c:v>45930</c:v>
                </c:pt>
                <c:pt idx="133">
                  <c:v>45929</c:v>
                </c:pt>
                <c:pt idx="134">
                  <c:v>45926</c:v>
                </c:pt>
                <c:pt idx="135">
                  <c:v>45925</c:v>
                </c:pt>
                <c:pt idx="136">
                  <c:v>45924</c:v>
                </c:pt>
                <c:pt idx="137">
                  <c:v>45923</c:v>
                </c:pt>
                <c:pt idx="138">
                  <c:v>45922</c:v>
                </c:pt>
                <c:pt idx="139">
                  <c:v>45919</c:v>
                </c:pt>
                <c:pt idx="140">
                  <c:v>45918</c:v>
                </c:pt>
                <c:pt idx="141">
                  <c:v>45917</c:v>
                </c:pt>
                <c:pt idx="142">
                  <c:v>45916</c:v>
                </c:pt>
                <c:pt idx="143">
                  <c:v>45915</c:v>
                </c:pt>
                <c:pt idx="144">
                  <c:v>45912</c:v>
                </c:pt>
                <c:pt idx="145">
                  <c:v>45911</c:v>
                </c:pt>
                <c:pt idx="146">
                  <c:v>45911</c:v>
                </c:pt>
                <c:pt idx="147">
                  <c:v>45910</c:v>
                </c:pt>
                <c:pt idx="148">
                  <c:v>45909</c:v>
                </c:pt>
                <c:pt idx="149">
                  <c:v>45908</c:v>
                </c:pt>
                <c:pt idx="150">
                  <c:v>45905</c:v>
                </c:pt>
                <c:pt idx="151">
                  <c:v>45904</c:v>
                </c:pt>
                <c:pt idx="152">
                  <c:v>45903</c:v>
                </c:pt>
                <c:pt idx="153">
                  <c:v>45902</c:v>
                </c:pt>
                <c:pt idx="154">
                  <c:v>45898</c:v>
                </c:pt>
                <c:pt idx="155">
                  <c:v>45897</c:v>
                </c:pt>
                <c:pt idx="156">
                  <c:v>45896</c:v>
                </c:pt>
                <c:pt idx="157">
                  <c:v>45895</c:v>
                </c:pt>
                <c:pt idx="158">
                  <c:v>45894</c:v>
                </c:pt>
                <c:pt idx="159">
                  <c:v>45891</c:v>
                </c:pt>
                <c:pt idx="160">
                  <c:v>45890</c:v>
                </c:pt>
                <c:pt idx="161">
                  <c:v>45889</c:v>
                </c:pt>
                <c:pt idx="162">
                  <c:v>45888</c:v>
                </c:pt>
                <c:pt idx="163">
                  <c:v>45887</c:v>
                </c:pt>
                <c:pt idx="164">
                  <c:v>45884</c:v>
                </c:pt>
                <c:pt idx="165">
                  <c:v>45883</c:v>
                </c:pt>
                <c:pt idx="166">
                  <c:v>45882</c:v>
                </c:pt>
                <c:pt idx="167">
                  <c:v>45881</c:v>
                </c:pt>
                <c:pt idx="168">
                  <c:v>45880</c:v>
                </c:pt>
                <c:pt idx="169">
                  <c:v>45877</c:v>
                </c:pt>
                <c:pt idx="170">
                  <c:v>45876</c:v>
                </c:pt>
                <c:pt idx="171">
                  <c:v>45875</c:v>
                </c:pt>
                <c:pt idx="172">
                  <c:v>45874</c:v>
                </c:pt>
                <c:pt idx="173">
                  <c:v>45873</c:v>
                </c:pt>
                <c:pt idx="174">
                  <c:v>45870</c:v>
                </c:pt>
                <c:pt idx="175">
                  <c:v>45869</c:v>
                </c:pt>
                <c:pt idx="176">
                  <c:v>45868</c:v>
                </c:pt>
                <c:pt idx="177">
                  <c:v>45867</c:v>
                </c:pt>
                <c:pt idx="178">
                  <c:v>45866</c:v>
                </c:pt>
                <c:pt idx="179">
                  <c:v>45863</c:v>
                </c:pt>
                <c:pt idx="180">
                  <c:v>45862</c:v>
                </c:pt>
                <c:pt idx="181">
                  <c:v>45861</c:v>
                </c:pt>
                <c:pt idx="182">
                  <c:v>45860</c:v>
                </c:pt>
                <c:pt idx="183">
                  <c:v>45859</c:v>
                </c:pt>
                <c:pt idx="184">
                  <c:v>45856</c:v>
                </c:pt>
                <c:pt idx="185">
                  <c:v>45855</c:v>
                </c:pt>
                <c:pt idx="186">
                  <c:v>45854</c:v>
                </c:pt>
                <c:pt idx="187">
                  <c:v>45853</c:v>
                </c:pt>
                <c:pt idx="188">
                  <c:v>45852</c:v>
                </c:pt>
                <c:pt idx="189">
                  <c:v>45849</c:v>
                </c:pt>
                <c:pt idx="190">
                  <c:v>45848</c:v>
                </c:pt>
                <c:pt idx="191">
                  <c:v>45847</c:v>
                </c:pt>
                <c:pt idx="192">
                  <c:v>45846</c:v>
                </c:pt>
                <c:pt idx="193">
                  <c:v>45845</c:v>
                </c:pt>
                <c:pt idx="194">
                  <c:v>45841</c:v>
                </c:pt>
                <c:pt idx="195">
                  <c:v>45840</c:v>
                </c:pt>
                <c:pt idx="196">
                  <c:v>45839</c:v>
                </c:pt>
                <c:pt idx="197">
                  <c:v>45838</c:v>
                </c:pt>
                <c:pt idx="198">
                  <c:v>45835</c:v>
                </c:pt>
                <c:pt idx="199">
                  <c:v>45834</c:v>
                </c:pt>
                <c:pt idx="200">
                  <c:v>45833</c:v>
                </c:pt>
                <c:pt idx="201">
                  <c:v>45832</c:v>
                </c:pt>
                <c:pt idx="202">
                  <c:v>45831</c:v>
                </c:pt>
                <c:pt idx="203">
                  <c:v>45828</c:v>
                </c:pt>
                <c:pt idx="204">
                  <c:v>45826</c:v>
                </c:pt>
                <c:pt idx="205">
                  <c:v>45826</c:v>
                </c:pt>
                <c:pt idx="206">
                  <c:v>45825</c:v>
                </c:pt>
                <c:pt idx="207">
                  <c:v>45824</c:v>
                </c:pt>
                <c:pt idx="208">
                  <c:v>45821</c:v>
                </c:pt>
                <c:pt idx="209">
                  <c:v>45820</c:v>
                </c:pt>
                <c:pt idx="210">
                  <c:v>45819</c:v>
                </c:pt>
                <c:pt idx="211">
                  <c:v>45818</c:v>
                </c:pt>
                <c:pt idx="212">
                  <c:v>45817</c:v>
                </c:pt>
                <c:pt idx="213">
                  <c:v>45814</c:v>
                </c:pt>
                <c:pt idx="214">
                  <c:v>45813</c:v>
                </c:pt>
                <c:pt idx="215">
                  <c:v>45812</c:v>
                </c:pt>
                <c:pt idx="216">
                  <c:v>45811</c:v>
                </c:pt>
                <c:pt idx="217">
                  <c:v>45810</c:v>
                </c:pt>
                <c:pt idx="218">
                  <c:v>45807</c:v>
                </c:pt>
                <c:pt idx="219">
                  <c:v>45806</c:v>
                </c:pt>
                <c:pt idx="220">
                  <c:v>45805</c:v>
                </c:pt>
                <c:pt idx="221">
                  <c:v>45804</c:v>
                </c:pt>
                <c:pt idx="222">
                  <c:v>45800</c:v>
                </c:pt>
                <c:pt idx="223">
                  <c:v>45799</c:v>
                </c:pt>
                <c:pt idx="224">
                  <c:v>45798</c:v>
                </c:pt>
                <c:pt idx="225">
                  <c:v>45797</c:v>
                </c:pt>
                <c:pt idx="226">
                  <c:v>45796</c:v>
                </c:pt>
                <c:pt idx="227">
                  <c:v>45793</c:v>
                </c:pt>
                <c:pt idx="228">
                  <c:v>45792</c:v>
                </c:pt>
                <c:pt idx="229">
                  <c:v>45791</c:v>
                </c:pt>
                <c:pt idx="230">
                  <c:v>45790</c:v>
                </c:pt>
                <c:pt idx="231">
                  <c:v>45789</c:v>
                </c:pt>
                <c:pt idx="232">
                  <c:v>45786</c:v>
                </c:pt>
                <c:pt idx="233">
                  <c:v>45785</c:v>
                </c:pt>
                <c:pt idx="234">
                  <c:v>45784</c:v>
                </c:pt>
                <c:pt idx="235">
                  <c:v>45783</c:v>
                </c:pt>
                <c:pt idx="236">
                  <c:v>45782</c:v>
                </c:pt>
                <c:pt idx="237">
                  <c:v>45779</c:v>
                </c:pt>
                <c:pt idx="238">
                  <c:v>45778</c:v>
                </c:pt>
                <c:pt idx="239">
                  <c:v>45777</c:v>
                </c:pt>
                <c:pt idx="240">
                  <c:v>45776</c:v>
                </c:pt>
                <c:pt idx="241">
                  <c:v>45775</c:v>
                </c:pt>
                <c:pt idx="242">
                  <c:v>45772</c:v>
                </c:pt>
                <c:pt idx="243">
                  <c:v>45771</c:v>
                </c:pt>
                <c:pt idx="244">
                  <c:v>45770</c:v>
                </c:pt>
                <c:pt idx="245">
                  <c:v>45769</c:v>
                </c:pt>
                <c:pt idx="246">
                  <c:v>45768</c:v>
                </c:pt>
                <c:pt idx="247">
                  <c:v>45764</c:v>
                </c:pt>
                <c:pt idx="248">
                  <c:v>45763</c:v>
                </c:pt>
                <c:pt idx="249">
                  <c:v>45762</c:v>
                </c:pt>
                <c:pt idx="250">
                  <c:v>45761</c:v>
                </c:pt>
                <c:pt idx="251">
                  <c:v>45758</c:v>
                </c:pt>
                <c:pt idx="252">
                  <c:v>45757</c:v>
                </c:pt>
                <c:pt idx="253">
                  <c:v>45756</c:v>
                </c:pt>
                <c:pt idx="254">
                  <c:v>45755</c:v>
                </c:pt>
                <c:pt idx="255">
                  <c:v>45754</c:v>
                </c:pt>
                <c:pt idx="256">
                  <c:v>45751</c:v>
                </c:pt>
                <c:pt idx="257">
                  <c:v>45750</c:v>
                </c:pt>
                <c:pt idx="258">
                  <c:v>45749</c:v>
                </c:pt>
                <c:pt idx="259">
                  <c:v>45748</c:v>
                </c:pt>
                <c:pt idx="260">
                  <c:v>45747</c:v>
                </c:pt>
                <c:pt idx="261">
                  <c:v>45744</c:v>
                </c:pt>
                <c:pt idx="262">
                  <c:v>45743</c:v>
                </c:pt>
                <c:pt idx="263">
                  <c:v>45742</c:v>
                </c:pt>
                <c:pt idx="264">
                  <c:v>45741</c:v>
                </c:pt>
                <c:pt idx="265">
                  <c:v>45740</c:v>
                </c:pt>
                <c:pt idx="266">
                  <c:v>45737</c:v>
                </c:pt>
                <c:pt idx="267">
                  <c:v>45736</c:v>
                </c:pt>
                <c:pt idx="268">
                  <c:v>45735</c:v>
                </c:pt>
                <c:pt idx="269">
                  <c:v>45734</c:v>
                </c:pt>
                <c:pt idx="270">
                  <c:v>45733</c:v>
                </c:pt>
                <c:pt idx="271">
                  <c:v>45730</c:v>
                </c:pt>
                <c:pt idx="272">
                  <c:v>45729</c:v>
                </c:pt>
                <c:pt idx="273">
                  <c:v>45729</c:v>
                </c:pt>
                <c:pt idx="274">
                  <c:v>45728</c:v>
                </c:pt>
                <c:pt idx="275">
                  <c:v>45727</c:v>
                </c:pt>
                <c:pt idx="276">
                  <c:v>45726</c:v>
                </c:pt>
                <c:pt idx="277">
                  <c:v>45723</c:v>
                </c:pt>
                <c:pt idx="278">
                  <c:v>45722</c:v>
                </c:pt>
                <c:pt idx="279">
                  <c:v>45721</c:v>
                </c:pt>
                <c:pt idx="280">
                  <c:v>45720</c:v>
                </c:pt>
                <c:pt idx="281">
                  <c:v>45719</c:v>
                </c:pt>
                <c:pt idx="282">
                  <c:v>45716</c:v>
                </c:pt>
                <c:pt idx="283">
                  <c:v>45715</c:v>
                </c:pt>
                <c:pt idx="284">
                  <c:v>45714</c:v>
                </c:pt>
                <c:pt idx="285">
                  <c:v>45713</c:v>
                </c:pt>
                <c:pt idx="286">
                  <c:v>45712</c:v>
                </c:pt>
                <c:pt idx="287">
                  <c:v>45709</c:v>
                </c:pt>
                <c:pt idx="288">
                  <c:v>45708</c:v>
                </c:pt>
                <c:pt idx="289">
                  <c:v>45707</c:v>
                </c:pt>
                <c:pt idx="290">
                  <c:v>45706</c:v>
                </c:pt>
                <c:pt idx="291">
                  <c:v>45702</c:v>
                </c:pt>
                <c:pt idx="292">
                  <c:v>45701</c:v>
                </c:pt>
                <c:pt idx="293">
                  <c:v>45700</c:v>
                </c:pt>
                <c:pt idx="294">
                  <c:v>45699</c:v>
                </c:pt>
                <c:pt idx="295">
                  <c:v>45698</c:v>
                </c:pt>
                <c:pt idx="296">
                  <c:v>45695</c:v>
                </c:pt>
                <c:pt idx="297">
                  <c:v>45694</c:v>
                </c:pt>
                <c:pt idx="298">
                  <c:v>45693</c:v>
                </c:pt>
                <c:pt idx="299">
                  <c:v>45692</c:v>
                </c:pt>
                <c:pt idx="300">
                  <c:v>45691</c:v>
                </c:pt>
                <c:pt idx="301">
                  <c:v>45688</c:v>
                </c:pt>
                <c:pt idx="302">
                  <c:v>45687</c:v>
                </c:pt>
                <c:pt idx="303">
                  <c:v>45686</c:v>
                </c:pt>
                <c:pt idx="304">
                  <c:v>45685</c:v>
                </c:pt>
                <c:pt idx="305">
                  <c:v>45684</c:v>
                </c:pt>
                <c:pt idx="306">
                  <c:v>45681</c:v>
                </c:pt>
                <c:pt idx="307">
                  <c:v>45680</c:v>
                </c:pt>
                <c:pt idx="308">
                  <c:v>45679</c:v>
                </c:pt>
                <c:pt idx="309">
                  <c:v>45678</c:v>
                </c:pt>
                <c:pt idx="310">
                  <c:v>45674</c:v>
                </c:pt>
                <c:pt idx="311">
                  <c:v>45673</c:v>
                </c:pt>
                <c:pt idx="312">
                  <c:v>45672</c:v>
                </c:pt>
                <c:pt idx="313">
                  <c:v>45671</c:v>
                </c:pt>
                <c:pt idx="314">
                  <c:v>45670</c:v>
                </c:pt>
                <c:pt idx="315">
                  <c:v>45667</c:v>
                </c:pt>
                <c:pt idx="316">
                  <c:v>45665</c:v>
                </c:pt>
                <c:pt idx="317">
                  <c:v>45664</c:v>
                </c:pt>
                <c:pt idx="318">
                  <c:v>45663</c:v>
                </c:pt>
                <c:pt idx="319">
                  <c:v>45660</c:v>
                </c:pt>
                <c:pt idx="320">
                  <c:v>45659</c:v>
                </c:pt>
                <c:pt idx="321">
                  <c:v>45657</c:v>
                </c:pt>
                <c:pt idx="322">
                  <c:v>45656</c:v>
                </c:pt>
                <c:pt idx="323">
                  <c:v>45653</c:v>
                </c:pt>
                <c:pt idx="324">
                  <c:v>45652</c:v>
                </c:pt>
                <c:pt idx="325">
                  <c:v>45650</c:v>
                </c:pt>
                <c:pt idx="326">
                  <c:v>45649</c:v>
                </c:pt>
                <c:pt idx="327">
                  <c:v>45646</c:v>
                </c:pt>
                <c:pt idx="328">
                  <c:v>45645</c:v>
                </c:pt>
                <c:pt idx="329">
                  <c:v>45644</c:v>
                </c:pt>
                <c:pt idx="330">
                  <c:v>45643</c:v>
                </c:pt>
                <c:pt idx="331">
                  <c:v>45642</c:v>
                </c:pt>
                <c:pt idx="332">
                  <c:v>45639</c:v>
                </c:pt>
                <c:pt idx="333">
                  <c:v>45638</c:v>
                </c:pt>
                <c:pt idx="334">
                  <c:v>45637</c:v>
                </c:pt>
                <c:pt idx="335">
                  <c:v>45636</c:v>
                </c:pt>
                <c:pt idx="336">
                  <c:v>45635</c:v>
                </c:pt>
                <c:pt idx="337">
                  <c:v>45632</c:v>
                </c:pt>
                <c:pt idx="338">
                  <c:v>45631</c:v>
                </c:pt>
                <c:pt idx="339">
                  <c:v>45630</c:v>
                </c:pt>
                <c:pt idx="340">
                  <c:v>45629</c:v>
                </c:pt>
                <c:pt idx="341">
                  <c:v>45629</c:v>
                </c:pt>
                <c:pt idx="342">
                  <c:v>45628</c:v>
                </c:pt>
                <c:pt idx="343">
                  <c:v>45625</c:v>
                </c:pt>
                <c:pt idx="344">
                  <c:v>45623</c:v>
                </c:pt>
                <c:pt idx="345">
                  <c:v>45622</c:v>
                </c:pt>
                <c:pt idx="346">
                  <c:v>45621</c:v>
                </c:pt>
                <c:pt idx="347">
                  <c:v>45618</c:v>
                </c:pt>
                <c:pt idx="348">
                  <c:v>45617</c:v>
                </c:pt>
                <c:pt idx="349">
                  <c:v>45616</c:v>
                </c:pt>
                <c:pt idx="350">
                  <c:v>45615</c:v>
                </c:pt>
                <c:pt idx="351">
                  <c:v>45614</c:v>
                </c:pt>
                <c:pt idx="352">
                  <c:v>45611</c:v>
                </c:pt>
                <c:pt idx="353">
                  <c:v>45610</c:v>
                </c:pt>
                <c:pt idx="354">
                  <c:v>45609</c:v>
                </c:pt>
                <c:pt idx="355">
                  <c:v>45608</c:v>
                </c:pt>
                <c:pt idx="356">
                  <c:v>45607</c:v>
                </c:pt>
                <c:pt idx="357">
                  <c:v>45604</c:v>
                </c:pt>
                <c:pt idx="358">
                  <c:v>45603</c:v>
                </c:pt>
                <c:pt idx="359">
                  <c:v>45602</c:v>
                </c:pt>
                <c:pt idx="360">
                  <c:v>45601</c:v>
                </c:pt>
                <c:pt idx="361">
                  <c:v>45600</c:v>
                </c:pt>
                <c:pt idx="362">
                  <c:v>45597</c:v>
                </c:pt>
                <c:pt idx="363">
                  <c:v>45596</c:v>
                </c:pt>
                <c:pt idx="364">
                  <c:v>45595</c:v>
                </c:pt>
                <c:pt idx="365">
                  <c:v>45594</c:v>
                </c:pt>
                <c:pt idx="366">
                  <c:v>45593</c:v>
                </c:pt>
                <c:pt idx="367">
                  <c:v>45590</c:v>
                </c:pt>
                <c:pt idx="368">
                  <c:v>45589</c:v>
                </c:pt>
                <c:pt idx="369">
                  <c:v>45588</c:v>
                </c:pt>
                <c:pt idx="370">
                  <c:v>45587</c:v>
                </c:pt>
                <c:pt idx="371">
                  <c:v>45586</c:v>
                </c:pt>
                <c:pt idx="372">
                  <c:v>45583</c:v>
                </c:pt>
                <c:pt idx="373">
                  <c:v>45582</c:v>
                </c:pt>
                <c:pt idx="374">
                  <c:v>45581</c:v>
                </c:pt>
                <c:pt idx="375">
                  <c:v>45580</c:v>
                </c:pt>
                <c:pt idx="376">
                  <c:v>45579</c:v>
                </c:pt>
                <c:pt idx="377">
                  <c:v>45576</c:v>
                </c:pt>
                <c:pt idx="378">
                  <c:v>45575</c:v>
                </c:pt>
                <c:pt idx="379">
                  <c:v>45574</c:v>
                </c:pt>
                <c:pt idx="380">
                  <c:v>45573</c:v>
                </c:pt>
                <c:pt idx="381">
                  <c:v>45572</c:v>
                </c:pt>
                <c:pt idx="382">
                  <c:v>45569</c:v>
                </c:pt>
                <c:pt idx="383">
                  <c:v>45568</c:v>
                </c:pt>
                <c:pt idx="384">
                  <c:v>45567</c:v>
                </c:pt>
                <c:pt idx="385">
                  <c:v>45566</c:v>
                </c:pt>
                <c:pt idx="386">
                  <c:v>45565</c:v>
                </c:pt>
                <c:pt idx="387">
                  <c:v>45562</c:v>
                </c:pt>
                <c:pt idx="388">
                  <c:v>45561</c:v>
                </c:pt>
                <c:pt idx="389">
                  <c:v>45560</c:v>
                </c:pt>
                <c:pt idx="390">
                  <c:v>45559</c:v>
                </c:pt>
                <c:pt idx="391">
                  <c:v>45558</c:v>
                </c:pt>
                <c:pt idx="392">
                  <c:v>45555</c:v>
                </c:pt>
                <c:pt idx="393">
                  <c:v>45554</c:v>
                </c:pt>
                <c:pt idx="394">
                  <c:v>45553</c:v>
                </c:pt>
                <c:pt idx="395">
                  <c:v>45552</c:v>
                </c:pt>
                <c:pt idx="396">
                  <c:v>45551</c:v>
                </c:pt>
                <c:pt idx="397">
                  <c:v>45548</c:v>
                </c:pt>
                <c:pt idx="398">
                  <c:v>45547</c:v>
                </c:pt>
                <c:pt idx="399">
                  <c:v>45546</c:v>
                </c:pt>
                <c:pt idx="400">
                  <c:v>45545</c:v>
                </c:pt>
                <c:pt idx="401">
                  <c:v>45545</c:v>
                </c:pt>
                <c:pt idx="402">
                  <c:v>45544</c:v>
                </c:pt>
                <c:pt idx="403">
                  <c:v>45541</c:v>
                </c:pt>
                <c:pt idx="404">
                  <c:v>45540</c:v>
                </c:pt>
                <c:pt idx="405">
                  <c:v>45539</c:v>
                </c:pt>
                <c:pt idx="406">
                  <c:v>45538</c:v>
                </c:pt>
                <c:pt idx="407">
                  <c:v>45534</c:v>
                </c:pt>
                <c:pt idx="408">
                  <c:v>45533</c:v>
                </c:pt>
                <c:pt idx="409">
                  <c:v>45532</c:v>
                </c:pt>
                <c:pt idx="410">
                  <c:v>45531</c:v>
                </c:pt>
                <c:pt idx="411">
                  <c:v>45530</c:v>
                </c:pt>
                <c:pt idx="412">
                  <c:v>45527</c:v>
                </c:pt>
                <c:pt idx="413">
                  <c:v>45526</c:v>
                </c:pt>
                <c:pt idx="414">
                  <c:v>45525</c:v>
                </c:pt>
                <c:pt idx="415">
                  <c:v>45524</c:v>
                </c:pt>
                <c:pt idx="416">
                  <c:v>45523</c:v>
                </c:pt>
                <c:pt idx="417">
                  <c:v>45520</c:v>
                </c:pt>
                <c:pt idx="418">
                  <c:v>45519</c:v>
                </c:pt>
                <c:pt idx="419">
                  <c:v>45518</c:v>
                </c:pt>
                <c:pt idx="420">
                  <c:v>45517</c:v>
                </c:pt>
                <c:pt idx="421">
                  <c:v>45516</c:v>
                </c:pt>
                <c:pt idx="422">
                  <c:v>45513</c:v>
                </c:pt>
                <c:pt idx="423">
                  <c:v>45512</c:v>
                </c:pt>
                <c:pt idx="424">
                  <c:v>45511</c:v>
                </c:pt>
                <c:pt idx="425">
                  <c:v>45510</c:v>
                </c:pt>
                <c:pt idx="426">
                  <c:v>45509</c:v>
                </c:pt>
                <c:pt idx="427">
                  <c:v>45506</c:v>
                </c:pt>
                <c:pt idx="428">
                  <c:v>45505</c:v>
                </c:pt>
                <c:pt idx="429">
                  <c:v>45504</c:v>
                </c:pt>
                <c:pt idx="430">
                  <c:v>45503</c:v>
                </c:pt>
                <c:pt idx="431">
                  <c:v>45502</c:v>
                </c:pt>
                <c:pt idx="432">
                  <c:v>45499</c:v>
                </c:pt>
                <c:pt idx="433">
                  <c:v>45498</c:v>
                </c:pt>
                <c:pt idx="434">
                  <c:v>45497</c:v>
                </c:pt>
                <c:pt idx="435">
                  <c:v>45496</c:v>
                </c:pt>
                <c:pt idx="436">
                  <c:v>45495</c:v>
                </c:pt>
                <c:pt idx="437">
                  <c:v>45492</c:v>
                </c:pt>
                <c:pt idx="438">
                  <c:v>45491</c:v>
                </c:pt>
                <c:pt idx="439">
                  <c:v>45490</c:v>
                </c:pt>
                <c:pt idx="440">
                  <c:v>45489</c:v>
                </c:pt>
                <c:pt idx="441">
                  <c:v>45488</c:v>
                </c:pt>
                <c:pt idx="442">
                  <c:v>45485</c:v>
                </c:pt>
                <c:pt idx="443">
                  <c:v>45484</c:v>
                </c:pt>
                <c:pt idx="444">
                  <c:v>45483</c:v>
                </c:pt>
                <c:pt idx="445">
                  <c:v>45482</c:v>
                </c:pt>
                <c:pt idx="446">
                  <c:v>45481</c:v>
                </c:pt>
                <c:pt idx="447">
                  <c:v>45478</c:v>
                </c:pt>
                <c:pt idx="448">
                  <c:v>45476</c:v>
                </c:pt>
                <c:pt idx="449">
                  <c:v>45475</c:v>
                </c:pt>
                <c:pt idx="450">
                  <c:v>45474</c:v>
                </c:pt>
                <c:pt idx="451">
                  <c:v>45471</c:v>
                </c:pt>
                <c:pt idx="452">
                  <c:v>45470</c:v>
                </c:pt>
                <c:pt idx="453">
                  <c:v>45469</c:v>
                </c:pt>
                <c:pt idx="454">
                  <c:v>45468</c:v>
                </c:pt>
                <c:pt idx="455">
                  <c:v>45467</c:v>
                </c:pt>
                <c:pt idx="456">
                  <c:v>45464</c:v>
                </c:pt>
                <c:pt idx="457">
                  <c:v>45463</c:v>
                </c:pt>
                <c:pt idx="458">
                  <c:v>45461</c:v>
                </c:pt>
                <c:pt idx="459">
                  <c:v>45460</c:v>
                </c:pt>
                <c:pt idx="460">
                  <c:v>45457</c:v>
                </c:pt>
                <c:pt idx="461">
                  <c:v>45456</c:v>
                </c:pt>
                <c:pt idx="462">
                  <c:v>45456</c:v>
                </c:pt>
                <c:pt idx="463">
                  <c:v>45455</c:v>
                </c:pt>
                <c:pt idx="464">
                  <c:v>45454</c:v>
                </c:pt>
                <c:pt idx="465">
                  <c:v>45453</c:v>
                </c:pt>
                <c:pt idx="466">
                  <c:v>45450</c:v>
                </c:pt>
                <c:pt idx="467">
                  <c:v>45449</c:v>
                </c:pt>
                <c:pt idx="468">
                  <c:v>45448</c:v>
                </c:pt>
                <c:pt idx="469">
                  <c:v>45447</c:v>
                </c:pt>
                <c:pt idx="470">
                  <c:v>45446</c:v>
                </c:pt>
                <c:pt idx="471">
                  <c:v>45443</c:v>
                </c:pt>
                <c:pt idx="472">
                  <c:v>45442</c:v>
                </c:pt>
                <c:pt idx="473">
                  <c:v>45441</c:v>
                </c:pt>
                <c:pt idx="474">
                  <c:v>45440</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45379</c:v>
                </c:pt>
                <c:pt idx="516">
                  <c:v>45378</c:v>
                </c:pt>
                <c:pt idx="517">
                  <c:v>45377</c:v>
                </c:pt>
                <c:pt idx="518">
                  <c:v>45376</c:v>
                </c:pt>
                <c:pt idx="519">
                  <c:v>45373</c:v>
                </c:pt>
                <c:pt idx="520">
                  <c:v>45372</c:v>
                </c:pt>
                <c:pt idx="521">
                  <c:v>45371</c:v>
                </c:pt>
                <c:pt idx="522">
                  <c:v>45370</c:v>
                </c:pt>
                <c:pt idx="523">
                  <c:v>45369</c:v>
                </c:pt>
                <c:pt idx="524">
                  <c:v>45366</c:v>
                </c:pt>
                <c:pt idx="525">
                  <c:v>45365</c:v>
                </c:pt>
                <c:pt idx="526">
                  <c:v>45364</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45338</c:v>
                </c:pt>
                <c:pt idx="545">
                  <c:v>45337</c:v>
                </c:pt>
                <c:pt idx="546">
                  <c:v>45336</c:v>
                </c:pt>
                <c:pt idx="547">
                  <c:v>45335</c:v>
                </c:pt>
                <c:pt idx="548">
                  <c:v>45334</c:v>
                </c:pt>
                <c:pt idx="549">
                  <c:v>45331</c:v>
                </c:pt>
                <c:pt idx="550">
                  <c:v>45330</c:v>
                </c:pt>
                <c:pt idx="551">
                  <c:v>45329</c:v>
                </c:pt>
                <c:pt idx="552">
                  <c:v>45328</c:v>
                </c:pt>
                <c:pt idx="553">
                  <c:v>45327</c:v>
                </c:pt>
                <c:pt idx="554">
                  <c:v>45324</c:v>
                </c:pt>
                <c:pt idx="555">
                  <c:v>45323</c:v>
                </c:pt>
                <c:pt idx="556">
                  <c:v>45322</c:v>
                </c:pt>
                <c:pt idx="557">
                  <c:v>45321</c:v>
                </c:pt>
                <c:pt idx="558">
                  <c:v>45320</c:v>
                </c:pt>
                <c:pt idx="559">
                  <c:v>45317</c:v>
                </c:pt>
                <c:pt idx="560">
                  <c:v>45316</c:v>
                </c:pt>
                <c:pt idx="561">
                  <c:v>45315</c:v>
                </c:pt>
                <c:pt idx="562">
                  <c:v>45314</c:v>
                </c:pt>
                <c:pt idx="563">
                  <c:v>45313</c:v>
                </c:pt>
                <c:pt idx="564">
                  <c:v>45310</c:v>
                </c:pt>
                <c:pt idx="565">
                  <c:v>45309</c:v>
                </c:pt>
                <c:pt idx="566">
                  <c:v>45308</c:v>
                </c:pt>
                <c:pt idx="567">
                  <c:v>45307</c:v>
                </c:pt>
                <c:pt idx="568">
                  <c:v>45303</c:v>
                </c:pt>
                <c:pt idx="569">
                  <c:v>45302</c:v>
                </c:pt>
                <c:pt idx="570">
                  <c:v>45301</c:v>
                </c:pt>
                <c:pt idx="571">
                  <c:v>45300</c:v>
                </c:pt>
                <c:pt idx="572">
                  <c:v>45299</c:v>
                </c:pt>
                <c:pt idx="573">
                  <c:v>45296</c:v>
                </c:pt>
                <c:pt idx="574">
                  <c:v>45295</c:v>
                </c:pt>
                <c:pt idx="575">
                  <c:v>45294</c:v>
                </c:pt>
                <c:pt idx="576">
                  <c:v>45293</c:v>
                </c:pt>
                <c:pt idx="577">
                  <c:v>45289</c:v>
                </c:pt>
                <c:pt idx="578">
                  <c:v>45288</c:v>
                </c:pt>
                <c:pt idx="579">
                  <c:v>45287</c:v>
                </c:pt>
                <c:pt idx="580">
                  <c:v>45286</c:v>
                </c:pt>
                <c:pt idx="581">
                  <c:v>45282</c:v>
                </c:pt>
                <c:pt idx="582">
                  <c:v>45281</c:v>
                </c:pt>
                <c:pt idx="583">
                  <c:v>45280</c:v>
                </c:pt>
                <c:pt idx="584">
                  <c:v>45279</c:v>
                </c:pt>
                <c:pt idx="585">
                  <c:v>45278</c:v>
                </c:pt>
                <c:pt idx="586">
                  <c:v>45275</c:v>
                </c:pt>
                <c:pt idx="587">
                  <c:v>45274</c:v>
                </c:pt>
                <c:pt idx="588">
                  <c:v>45273</c:v>
                </c:pt>
                <c:pt idx="589">
                  <c:v>45272</c:v>
                </c:pt>
                <c:pt idx="590">
                  <c:v>45272</c:v>
                </c:pt>
                <c:pt idx="591">
                  <c:v>45271</c:v>
                </c:pt>
                <c:pt idx="592">
                  <c:v>45268</c:v>
                </c:pt>
                <c:pt idx="593">
                  <c:v>45267</c:v>
                </c:pt>
                <c:pt idx="594">
                  <c:v>45266</c:v>
                </c:pt>
                <c:pt idx="595">
                  <c:v>45265</c:v>
                </c:pt>
                <c:pt idx="596">
                  <c:v>45264</c:v>
                </c:pt>
                <c:pt idx="597">
                  <c:v>45261</c:v>
                </c:pt>
                <c:pt idx="598">
                  <c:v>45260</c:v>
                </c:pt>
                <c:pt idx="599">
                  <c:v>45259</c:v>
                </c:pt>
                <c:pt idx="600">
                  <c:v>45258</c:v>
                </c:pt>
                <c:pt idx="601">
                  <c:v>45257</c:v>
                </c:pt>
                <c:pt idx="602">
                  <c:v>45254</c:v>
                </c:pt>
                <c:pt idx="603">
                  <c:v>45252</c:v>
                </c:pt>
                <c:pt idx="604">
                  <c:v>45251</c:v>
                </c:pt>
                <c:pt idx="605">
                  <c:v>45250</c:v>
                </c:pt>
                <c:pt idx="606">
                  <c:v>45247</c:v>
                </c:pt>
                <c:pt idx="607">
                  <c:v>45246</c:v>
                </c:pt>
                <c:pt idx="608">
                  <c:v>45245</c:v>
                </c:pt>
                <c:pt idx="609">
                  <c:v>45244</c:v>
                </c:pt>
                <c:pt idx="610">
                  <c:v>45243</c:v>
                </c:pt>
                <c:pt idx="611">
                  <c:v>45240</c:v>
                </c:pt>
                <c:pt idx="612">
                  <c:v>45239</c:v>
                </c:pt>
                <c:pt idx="613">
                  <c:v>45238</c:v>
                </c:pt>
                <c:pt idx="614">
                  <c:v>45237</c:v>
                </c:pt>
                <c:pt idx="615">
                  <c:v>45236</c:v>
                </c:pt>
                <c:pt idx="616">
                  <c:v>45233</c:v>
                </c:pt>
                <c:pt idx="617">
                  <c:v>45232</c:v>
                </c:pt>
                <c:pt idx="618">
                  <c:v>45231</c:v>
                </c:pt>
                <c:pt idx="619">
                  <c:v>45230</c:v>
                </c:pt>
                <c:pt idx="620">
                  <c:v>45229</c:v>
                </c:pt>
                <c:pt idx="621">
                  <c:v>45226</c:v>
                </c:pt>
                <c:pt idx="622">
                  <c:v>45225</c:v>
                </c:pt>
                <c:pt idx="623">
                  <c:v>45224</c:v>
                </c:pt>
                <c:pt idx="624">
                  <c:v>45223</c:v>
                </c:pt>
                <c:pt idx="625">
                  <c:v>45222</c:v>
                </c:pt>
                <c:pt idx="626">
                  <c:v>45219</c:v>
                </c:pt>
                <c:pt idx="627">
                  <c:v>45218</c:v>
                </c:pt>
                <c:pt idx="628">
                  <c:v>45217</c:v>
                </c:pt>
                <c:pt idx="629">
                  <c:v>45216</c:v>
                </c:pt>
                <c:pt idx="630">
                  <c:v>45215</c:v>
                </c:pt>
                <c:pt idx="631">
                  <c:v>45212</c:v>
                </c:pt>
                <c:pt idx="632">
                  <c:v>45211</c:v>
                </c:pt>
                <c:pt idx="633">
                  <c:v>45210</c:v>
                </c:pt>
                <c:pt idx="634">
                  <c:v>45209</c:v>
                </c:pt>
                <c:pt idx="635">
                  <c:v>45208</c:v>
                </c:pt>
                <c:pt idx="636">
                  <c:v>45205</c:v>
                </c:pt>
                <c:pt idx="637">
                  <c:v>45204</c:v>
                </c:pt>
                <c:pt idx="638">
                  <c:v>45203</c:v>
                </c:pt>
                <c:pt idx="639">
                  <c:v>45202</c:v>
                </c:pt>
                <c:pt idx="640">
                  <c:v>45201</c:v>
                </c:pt>
                <c:pt idx="641">
                  <c:v>45198</c:v>
                </c:pt>
                <c:pt idx="642">
                  <c:v>45197</c:v>
                </c:pt>
                <c:pt idx="643">
                  <c:v>45196</c:v>
                </c:pt>
                <c:pt idx="644">
                  <c:v>45195</c:v>
                </c:pt>
                <c:pt idx="645">
                  <c:v>45194</c:v>
                </c:pt>
                <c:pt idx="646">
                  <c:v>45191</c:v>
                </c:pt>
                <c:pt idx="647">
                  <c:v>45190</c:v>
                </c:pt>
                <c:pt idx="648">
                  <c:v>45189</c:v>
                </c:pt>
                <c:pt idx="649">
                  <c:v>45188</c:v>
                </c:pt>
                <c:pt idx="650">
                  <c:v>45187</c:v>
                </c:pt>
                <c:pt idx="651">
                  <c:v>45184</c:v>
                </c:pt>
                <c:pt idx="652">
                  <c:v>45183</c:v>
                </c:pt>
                <c:pt idx="653">
                  <c:v>45182</c:v>
                </c:pt>
                <c:pt idx="654">
                  <c:v>45181</c:v>
                </c:pt>
                <c:pt idx="655">
                  <c:v>45180</c:v>
                </c:pt>
                <c:pt idx="656">
                  <c:v>45177</c:v>
                </c:pt>
                <c:pt idx="657">
                  <c:v>45176</c:v>
                </c:pt>
                <c:pt idx="658">
                  <c:v>45176</c:v>
                </c:pt>
                <c:pt idx="659">
                  <c:v>45175</c:v>
                </c:pt>
                <c:pt idx="660">
                  <c:v>45174</c:v>
                </c:pt>
                <c:pt idx="661">
                  <c:v>45170</c:v>
                </c:pt>
                <c:pt idx="662">
                  <c:v>45169</c:v>
                </c:pt>
                <c:pt idx="663">
                  <c:v>45168</c:v>
                </c:pt>
                <c:pt idx="664">
                  <c:v>45167</c:v>
                </c:pt>
                <c:pt idx="665">
                  <c:v>45166</c:v>
                </c:pt>
                <c:pt idx="666">
                  <c:v>45163</c:v>
                </c:pt>
                <c:pt idx="667">
                  <c:v>45162</c:v>
                </c:pt>
                <c:pt idx="668">
                  <c:v>45161</c:v>
                </c:pt>
                <c:pt idx="669">
                  <c:v>45160</c:v>
                </c:pt>
                <c:pt idx="670">
                  <c:v>45159</c:v>
                </c:pt>
                <c:pt idx="671">
                  <c:v>45156</c:v>
                </c:pt>
                <c:pt idx="672">
                  <c:v>45155</c:v>
                </c:pt>
                <c:pt idx="673">
                  <c:v>45154</c:v>
                </c:pt>
                <c:pt idx="674">
                  <c:v>45153</c:v>
                </c:pt>
                <c:pt idx="675">
                  <c:v>45152</c:v>
                </c:pt>
                <c:pt idx="676">
                  <c:v>45149</c:v>
                </c:pt>
                <c:pt idx="677">
                  <c:v>45148</c:v>
                </c:pt>
                <c:pt idx="678">
                  <c:v>45147</c:v>
                </c:pt>
                <c:pt idx="679">
                  <c:v>45146</c:v>
                </c:pt>
                <c:pt idx="680">
                  <c:v>45145</c:v>
                </c:pt>
                <c:pt idx="681">
                  <c:v>45142</c:v>
                </c:pt>
                <c:pt idx="682">
                  <c:v>45141</c:v>
                </c:pt>
                <c:pt idx="683">
                  <c:v>45140</c:v>
                </c:pt>
                <c:pt idx="684">
                  <c:v>45139</c:v>
                </c:pt>
                <c:pt idx="685">
                  <c:v>45138</c:v>
                </c:pt>
                <c:pt idx="686">
                  <c:v>45135</c:v>
                </c:pt>
                <c:pt idx="687">
                  <c:v>45134</c:v>
                </c:pt>
                <c:pt idx="688">
                  <c:v>45133</c:v>
                </c:pt>
                <c:pt idx="689">
                  <c:v>45132</c:v>
                </c:pt>
                <c:pt idx="690">
                  <c:v>45131</c:v>
                </c:pt>
                <c:pt idx="691">
                  <c:v>45128</c:v>
                </c:pt>
                <c:pt idx="692">
                  <c:v>45127</c:v>
                </c:pt>
                <c:pt idx="693">
                  <c:v>45126</c:v>
                </c:pt>
                <c:pt idx="694">
                  <c:v>45125</c:v>
                </c:pt>
                <c:pt idx="695">
                  <c:v>45124</c:v>
                </c:pt>
                <c:pt idx="696">
                  <c:v>45121</c:v>
                </c:pt>
                <c:pt idx="697">
                  <c:v>45120</c:v>
                </c:pt>
                <c:pt idx="698">
                  <c:v>45119</c:v>
                </c:pt>
                <c:pt idx="699">
                  <c:v>45118</c:v>
                </c:pt>
                <c:pt idx="700">
                  <c:v>45117</c:v>
                </c:pt>
                <c:pt idx="701">
                  <c:v>45114</c:v>
                </c:pt>
                <c:pt idx="702">
                  <c:v>45113</c:v>
                </c:pt>
                <c:pt idx="703">
                  <c:v>45112</c:v>
                </c:pt>
                <c:pt idx="704">
                  <c:v>45110</c:v>
                </c:pt>
                <c:pt idx="705">
                  <c:v>45107</c:v>
                </c:pt>
                <c:pt idx="706">
                  <c:v>45106</c:v>
                </c:pt>
                <c:pt idx="707">
                  <c:v>45105</c:v>
                </c:pt>
                <c:pt idx="708">
                  <c:v>45104</c:v>
                </c:pt>
                <c:pt idx="709">
                  <c:v>45103</c:v>
                </c:pt>
                <c:pt idx="710">
                  <c:v>45100</c:v>
                </c:pt>
                <c:pt idx="711">
                  <c:v>45099</c:v>
                </c:pt>
                <c:pt idx="712">
                  <c:v>45098</c:v>
                </c:pt>
                <c:pt idx="713">
                  <c:v>45097</c:v>
                </c:pt>
                <c:pt idx="714">
                  <c:v>45093</c:v>
                </c:pt>
                <c:pt idx="715">
                  <c:v>45092</c:v>
                </c:pt>
                <c:pt idx="716">
                  <c:v>45092</c:v>
                </c:pt>
                <c:pt idx="717">
                  <c:v>45091</c:v>
                </c:pt>
                <c:pt idx="718">
                  <c:v>45090</c:v>
                </c:pt>
                <c:pt idx="719">
                  <c:v>45089</c:v>
                </c:pt>
                <c:pt idx="720">
                  <c:v>45086</c:v>
                </c:pt>
                <c:pt idx="721">
                  <c:v>45085</c:v>
                </c:pt>
                <c:pt idx="722">
                  <c:v>45084</c:v>
                </c:pt>
                <c:pt idx="723">
                  <c:v>45083</c:v>
                </c:pt>
                <c:pt idx="724">
                  <c:v>45082</c:v>
                </c:pt>
                <c:pt idx="725">
                  <c:v>45079</c:v>
                </c:pt>
                <c:pt idx="726">
                  <c:v>45078</c:v>
                </c:pt>
                <c:pt idx="727">
                  <c:v>45077</c:v>
                </c:pt>
                <c:pt idx="728">
                  <c:v>45076</c:v>
                </c:pt>
                <c:pt idx="729">
                  <c:v>45072</c:v>
                </c:pt>
                <c:pt idx="730">
                  <c:v>45071</c:v>
                </c:pt>
                <c:pt idx="731">
                  <c:v>45070</c:v>
                </c:pt>
                <c:pt idx="732">
                  <c:v>45069</c:v>
                </c:pt>
                <c:pt idx="733">
                  <c:v>45068</c:v>
                </c:pt>
                <c:pt idx="734">
                  <c:v>45065</c:v>
                </c:pt>
                <c:pt idx="735">
                  <c:v>45064</c:v>
                </c:pt>
                <c:pt idx="736">
                  <c:v>45063</c:v>
                </c:pt>
                <c:pt idx="737">
                  <c:v>45062</c:v>
                </c:pt>
                <c:pt idx="738">
                  <c:v>45061</c:v>
                </c:pt>
                <c:pt idx="739">
                  <c:v>45058</c:v>
                </c:pt>
                <c:pt idx="740">
                  <c:v>45057</c:v>
                </c:pt>
                <c:pt idx="741">
                  <c:v>45056</c:v>
                </c:pt>
                <c:pt idx="742">
                  <c:v>45055</c:v>
                </c:pt>
                <c:pt idx="743">
                  <c:v>45054</c:v>
                </c:pt>
                <c:pt idx="744">
                  <c:v>45051</c:v>
                </c:pt>
                <c:pt idx="745">
                  <c:v>45050</c:v>
                </c:pt>
                <c:pt idx="746">
                  <c:v>45049</c:v>
                </c:pt>
                <c:pt idx="747">
                  <c:v>45048</c:v>
                </c:pt>
                <c:pt idx="748">
                  <c:v>45047</c:v>
                </c:pt>
                <c:pt idx="749">
                  <c:v>45044</c:v>
                </c:pt>
                <c:pt idx="750">
                  <c:v>45043</c:v>
                </c:pt>
                <c:pt idx="751">
                  <c:v>45042</c:v>
                </c:pt>
                <c:pt idx="752">
                  <c:v>45041</c:v>
                </c:pt>
                <c:pt idx="753">
                  <c:v>45040</c:v>
                </c:pt>
                <c:pt idx="754">
                  <c:v>45037</c:v>
                </c:pt>
                <c:pt idx="755">
                  <c:v>45036</c:v>
                </c:pt>
                <c:pt idx="756">
                  <c:v>45035</c:v>
                </c:pt>
                <c:pt idx="757">
                  <c:v>45034</c:v>
                </c:pt>
                <c:pt idx="758">
                  <c:v>45033</c:v>
                </c:pt>
                <c:pt idx="759">
                  <c:v>45030</c:v>
                </c:pt>
                <c:pt idx="760">
                  <c:v>45029</c:v>
                </c:pt>
                <c:pt idx="761">
                  <c:v>45028</c:v>
                </c:pt>
                <c:pt idx="762">
                  <c:v>45027</c:v>
                </c:pt>
                <c:pt idx="763">
                  <c:v>45026</c:v>
                </c:pt>
                <c:pt idx="764">
                  <c:v>45022</c:v>
                </c:pt>
                <c:pt idx="765">
                  <c:v>45021</c:v>
                </c:pt>
                <c:pt idx="766">
                  <c:v>45020</c:v>
                </c:pt>
                <c:pt idx="767">
                  <c:v>45019</c:v>
                </c:pt>
                <c:pt idx="768">
                  <c:v>45016</c:v>
                </c:pt>
                <c:pt idx="769">
                  <c:v>45015</c:v>
                </c:pt>
                <c:pt idx="770">
                  <c:v>45014</c:v>
                </c:pt>
                <c:pt idx="771">
                  <c:v>45013</c:v>
                </c:pt>
                <c:pt idx="772">
                  <c:v>45012</c:v>
                </c:pt>
                <c:pt idx="773">
                  <c:v>45009</c:v>
                </c:pt>
                <c:pt idx="774">
                  <c:v>45008</c:v>
                </c:pt>
                <c:pt idx="775">
                  <c:v>45007</c:v>
                </c:pt>
                <c:pt idx="776">
                  <c:v>45006</c:v>
                </c:pt>
                <c:pt idx="777">
                  <c:v>45005</c:v>
                </c:pt>
                <c:pt idx="778">
                  <c:v>45002</c:v>
                </c:pt>
                <c:pt idx="779">
                  <c:v>45001</c:v>
                </c:pt>
                <c:pt idx="780">
                  <c:v>45001</c:v>
                </c:pt>
                <c:pt idx="781">
                  <c:v>45000</c:v>
                </c:pt>
                <c:pt idx="782">
                  <c:v>44999</c:v>
                </c:pt>
                <c:pt idx="783">
                  <c:v>44998</c:v>
                </c:pt>
                <c:pt idx="784">
                  <c:v>44995</c:v>
                </c:pt>
                <c:pt idx="785">
                  <c:v>44994</c:v>
                </c:pt>
                <c:pt idx="786">
                  <c:v>44993</c:v>
                </c:pt>
                <c:pt idx="787">
                  <c:v>44992</c:v>
                </c:pt>
                <c:pt idx="788">
                  <c:v>44991</c:v>
                </c:pt>
                <c:pt idx="789">
                  <c:v>44988</c:v>
                </c:pt>
                <c:pt idx="790">
                  <c:v>44987</c:v>
                </c:pt>
                <c:pt idx="791">
                  <c:v>44986</c:v>
                </c:pt>
                <c:pt idx="792">
                  <c:v>44985</c:v>
                </c:pt>
                <c:pt idx="793">
                  <c:v>44984</c:v>
                </c:pt>
                <c:pt idx="794">
                  <c:v>44981</c:v>
                </c:pt>
                <c:pt idx="795">
                  <c:v>44980</c:v>
                </c:pt>
                <c:pt idx="796">
                  <c:v>44979</c:v>
                </c:pt>
                <c:pt idx="797">
                  <c:v>44978</c:v>
                </c:pt>
                <c:pt idx="798">
                  <c:v>44974</c:v>
                </c:pt>
                <c:pt idx="799">
                  <c:v>44973</c:v>
                </c:pt>
                <c:pt idx="800">
                  <c:v>44972</c:v>
                </c:pt>
                <c:pt idx="801">
                  <c:v>44971</c:v>
                </c:pt>
                <c:pt idx="802">
                  <c:v>44970</c:v>
                </c:pt>
                <c:pt idx="803">
                  <c:v>44967</c:v>
                </c:pt>
                <c:pt idx="804">
                  <c:v>44966</c:v>
                </c:pt>
                <c:pt idx="805">
                  <c:v>44965</c:v>
                </c:pt>
                <c:pt idx="806">
                  <c:v>44964</c:v>
                </c:pt>
                <c:pt idx="807">
                  <c:v>44963</c:v>
                </c:pt>
                <c:pt idx="808">
                  <c:v>44960</c:v>
                </c:pt>
                <c:pt idx="809">
                  <c:v>44959</c:v>
                </c:pt>
                <c:pt idx="810">
                  <c:v>44958</c:v>
                </c:pt>
                <c:pt idx="811">
                  <c:v>44957</c:v>
                </c:pt>
                <c:pt idx="812">
                  <c:v>44956</c:v>
                </c:pt>
                <c:pt idx="813">
                  <c:v>44953</c:v>
                </c:pt>
                <c:pt idx="814">
                  <c:v>44952</c:v>
                </c:pt>
                <c:pt idx="815">
                  <c:v>44951</c:v>
                </c:pt>
                <c:pt idx="816">
                  <c:v>44950</c:v>
                </c:pt>
                <c:pt idx="817">
                  <c:v>44949</c:v>
                </c:pt>
                <c:pt idx="818">
                  <c:v>44946</c:v>
                </c:pt>
                <c:pt idx="819">
                  <c:v>44945</c:v>
                </c:pt>
                <c:pt idx="820">
                  <c:v>44944</c:v>
                </c:pt>
                <c:pt idx="821">
                  <c:v>44943</c:v>
                </c:pt>
                <c:pt idx="822">
                  <c:v>44939</c:v>
                </c:pt>
                <c:pt idx="823">
                  <c:v>44938</c:v>
                </c:pt>
                <c:pt idx="824">
                  <c:v>44937</c:v>
                </c:pt>
                <c:pt idx="825">
                  <c:v>44936</c:v>
                </c:pt>
                <c:pt idx="826">
                  <c:v>44935</c:v>
                </c:pt>
                <c:pt idx="827">
                  <c:v>44932</c:v>
                </c:pt>
                <c:pt idx="828">
                  <c:v>44931</c:v>
                </c:pt>
                <c:pt idx="829">
                  <c:v>44930</c:v>
                </c:pt>
                <c:pt idx="830">
                  <c:v>44929</c:v>
                </c:pt>
                <c:pt idx="831">
                  <c:v>44925</c:v>
                </c:pt>
                <c:pt idx="832">
                  <c:v>44924</c:v>
                </c:pt>
                <c:pt idx="833">
                  <c:v>44923</c:v>
                </c:pt>
                <c:pt idx="834">
                  <c:v>44922</c:v>
                </c:pt>
                <c:pt idx="835">
                  <c:v>44918</c:v>
                </c:pt>
                <c:pt idx="836">
                  <c:v>44917</c:v>
                </c:pt>
                <c:pt idx="837">
                  <c:v>44916</c:v>
                </c:pt>
                <c:pt idx="838">
                  <c:v>44915</c:v>
                </c:pt>
                <c:pt idx="839">
                  <c:v>44914</c:v>
                </c:pt>
                <c:pt idx="840">
                  <c:v>44911</c:v>
                </c:pt>
                <c:pt idx="841">
                  <c:v>44910</c:v>
                </c:pt>
                <c:pt idx="842">
                  <c:v>44909</c:v>
                </c:pt>
                <c:pt idx="843">
                  <c:v>44908</c:v>
                </c:pt>
                <c:pt idx="844">
                  <c:v>44907</c:v>
                </c:pt>
                <c:pt idx="845">
                  <c:v>44904</c:v>
                </c:pt>
                <c:pt idx="846">
                  <c:v>44903</c:v>
                </c:pt>
                <c:pt idx="847">
                  <c:v>44902</c:v>
                </c:pt>
                <c:pt idx="848">
                  <c:v>44901</c:v>
                </c:pt>
                <c:pt idx="849">
                  <c:v>44900</c:v>
                </c:pt>
                <c:pt idx="850">
                  <c:v>44897</c:v>
                </c:pt>
                <c:pt idx="851">
                  <c:v>44896</c:v>
                </c:pt>
                <c:pt idx="852">
                  <c:v>44895</c:v>
                </c:pt>
                <c:pt idx="853">
                  <c:v>44894</c:v>
                </c:pt>
                <c:pt idx="854">
                  <c:v>44894</c:v>
                </c:pt>
                <c:pt idx="855">
                  <c:v>44893</c:v>
                </c:pt>
                <c:pt idx="856">
                  <c:v>44890</c:v>
                </c:pt>
                <c:pt idx="857">
                  <c:v>44888</c:v>
                </c:pt>
                <c:pt idx="858">
                  <c:v>44887</c:v>
                </c:pt>
                <c:pt idx="859">
                  <c:v>44886</c:v>
                </c:pt>
                <c:pt idx="860">
                  <c:v>44883</c:v>
                </c:pt>
                <c:pt idx="861">
                  <c:v>44882</c:v>
                </c:pt>
                <c:pt idx="862">
                  <c:v>44881</c:v>
                </c:pt>
                <c:pt idx="863">
                  <c:v>44880</c:v>
                </c:pt>
                <c:pt idx="864">
                  <c:v>44879</c:v>
                </c:pt>
                <c:pt idx="865">
                  <c:v>44876</c:v>
                </c:pt>
                <c:pt idx="866">
                  <c:v>44875</c:v>
                </c:pt>
                <c:pt idx="867">
                  <c:v>44874</c:v>
                </c:pt>
                <c:pt idx="868">
                  <c:v>44873</c:v>
                </c:pt>
                <c:pt idx="869">
                  <c:v>44872</c:v>
                </c:pt>
                <c:pt idx="870">
                  <c:v>44869</c:v>
                </c:pt>
                <c:pt idx="871">
                  <c:v>44868</c:v>
                </c:pt>
                <c:pt idx="872">
                  <c:v>44867</c:v>
                </c:pt>
                <c:pt idx="873">
                  <c:v>44866</c:v>
                </c:pt>
                <c:pt idx="874">
                  <c:v>44865</c:v>
                </c:pt>
                <c:pt idx="875">
                  <c:v>44862</c:v>
                </c:pt>
                <c:pt idx="876">
                  <c:v>44861</c:v>
                </c:pt>
                <c:pt idx="877">
                  <c:v>44860</c:v>
                </c:pt>
                <c:pt idx="878">
                  <c:v>44859</c:v>
                </c:pt>
                <c:pt idx="879">
                  <c:v>44858</c:v>
                </c:pt>
                <c:pt idx="880">
                  <c:v>44855</c:v>
                </c:pt>
                <c:pt idx="881">
                  <c:v>44854</c:v>
                </c:pt>
                <c:pt idx="882">
                  <c:v>44853</c:v>
                </c:pt>
                <c:pt idx="883">
                  <c:v>44852</c:v>
                </c:pt>
                <c:pt idx="884">
                  <c:v>44851</c:v>
                </c:pt>
                <c:pt idx="885">
                  <c:v>44848</c:v>
                </c:pt>
                <c:pt idx="886">
                  <c:v>44847</c:v>
                </c:pt>
                <c:pt idx="887">
                  <c:v>44846</c:v>
                </c:pt>
                <c:pt idx="888">
                  <c:v>44845</c:v>
                </c:pt>
                <c:pt idx="889">
                  <c:v>44844</c:v>
                </c:pt>
                <c:pt idx="890">
                  <c:v>44841</c:v>
                </c:pt>
                <c:pt idx="891">
                  <c:v>44840</c:v>
                </c:pt>
                <c:pt idx="892">
                  <c:v>44839</c:v>
                </c:pt>
                <c:pt idx="893">
                  <c:v>44838</c:v>
                </c:pt>
                <c:pt idx="894">
                  <c:v>44837</c:v>
                </c:pt>
                <c:pt idx="895">
                  <c:v>44834</c:v>
                </c:pt>
                <c:pt idx="896">
                  <c:v>44833</c:v>
                </c:pt>
                <c:pt idx="897">
                  <c:v>44832</c:v>
                </c:pt>
                <c:pt idx="898">
                  <c:v>44831</c:v>
                </c:pt>
                <c:pt idx="899">
                  <c:v>44830</c:v>
                </c:pt>
                <c:pt idx="900">
                  <c:v>44827</c:v>
                </c:pt>
                <c:pt idx="901">
                  <c:v>44826</c:v>
                </c:pt>
                <c:pt idx="902">
                  <c:v>44825</c:v>
                </c:pt>
                <c:pt idx="903">
                  <c:v>44824</c:v>
                </c:pt>
                <c:pt idx="904">
                  <c:v>44823</c:v>
                </c:pt>
                <c:pt idx="905">
                  <c:v>44820</c:v>
                </c:pt>
                <c:pt idx="906">
                  <c:v>44819</c:v>
                </c:pt>
                <c:pt idx="907">
                  <c:v>44818</c:v>
                </c:pt>
                <c:pt idx="908">
                  <c:v>44817</c:v>
                </c:pt>
                <c:pt idx="909">
                  <c:v>44816</c:v>
                </c:pt>
                <c:pt idx="910">
                  <c:v>44813</c:v>
                </c:pt>
                <c:pt idx="911">
                  <c:v>44812</c:v>
                </c:pt>
                <c:pt idx="912">
                  <c:v>44812</c:v>
                </c:pt>
                <c:pt idx="913">
                  <c:v>44811</c:v>
                </c:pt>
                <c:pt idx="914">
                  <c:v>44810</c:v>
                </c:pt>
                <c:pt idx="915">
                  <c:v>44806</c:v>
                </c:pt>
                <c:pt idx="916">
                  <c:v>44805</c:v>
                </c:pt>
                <c:pt idx="917">
                  <c:v>44804</c:v>
                </c:pt>
                <c:pt idx="918">
                  <c:v>44803</c:v>
                </c:pt>
                <c:pt idx="919">
                  <c:v>44802</c:v>
                </c:pt>
                <c:pt idx="920">
                  <c:v>44799</c:v>
                </c:pt>
                <c:pt idx="921">
                  <c:v>44798</c:v>
                </c:pt>
                <c:pt idx="922">
                  <c:v>44797</c:v>
                </c:pt>
                <c:pt idx="923">
                  <c:v>44796</c:v>
                </c:pt>
                <c:pt idx="924">
                  <c:v>44795</c:v>
                </c:pt>
                <c:pt idx="925">
                  <c:v>44792</c:v>
                </c:pt>
                <c:pt idx="926">
                  <c:v>44791</c:v>
                </c:pt>
                <c:pt idx="927">
                  <c:v>44790</c:v>
                </c:pt>
                <c:pt idx="928">
                  <c:v>44789</c:v>
                </c:pt>
                <c:pt idx="929">
                  <c:v>44788</c:v>
                </c:pt>
                <c:pt idx="930">
                  <c:v>44785</c:v>
                </c:pt>
                <c:pt idx="931">
                  <c:v>44784</c:v>
                </c:pt>
                <c:pt idx="932">
                  <c:v>44783</c:v>
                </c:pt>
                <c:pt idx="933">
                  <c:v>44782</c:v>
                </c:pt>
                <c:pt idx="934">
                  <c:v>44781</c:v>
                </c:pt>
                <c:pt idx="935">
                  <c:v>44778</c:v>
                </c:pt>
                <c:pt idx="936">
                  <c:v>44777</c:v>
                </c:pt>
                <c:pt idx="937">
                  <c:v>44776</c:v>
                </c:pt>
                <c:pt idx="938">
                  <c:v>44775</c:v>
                </c:pt>
                <c:pt idx="939">
                  <c:v>44774</c:v>
                </c:pt>
                <c:pt idx="940">
                  <c:v>44771</c:v>
                </c:pt>
                <c:pt idx="941">
                  <c:v>44770</c:v>
                </c:pt>
                <c:pt idx="942">
                  <c:v>44769</c:v>
                </c:pt>
                <c:pt idx="943">
                  <c:v>44768</c:v>
                </c:pt>
                <c:pt idx="944">
                  <c:v>44767</c:v>
                </c:pt>
                <c:pt idx="945">
                  <c:v>44764</c:v>
                </c:pt>
                <c:pt idx="946">
                  <c:v>44763</c:v>
                </c:pt>
                <c:pt idx="947">
                  <c:v>44762</c:v>
                </c:pt>
                <c:pt idx="948">
                  <c:v>44761</c:v>
                </c:pt>
                <c:pt idx="949">
                  <c:v>44760</c:v>
                </c:pt>
                <c:pt idx="950">
                  <c:v>44757</c:v>
                </c:pt>
                <c:pt idx="951">
                  <c:v>44756</c:v>
                </c:pt>
                <c:pt idx="952">
                  <c:v>44755</c:v>
                </c:pt>
                <c:pt idx="953">
                  <c:v>44754</c:v>
                </c:pt>
                <c:pt idx="954">
                  <c:v>44753</c:v>
                </c:pt>
                <c:pt idx="955">
                  <c:v>44750</c:v>
                </c:pt>
                <c:pt idx="956">
                  <c:v>44749</c:v>
                </c:pt>
                <c:pt idx="957">
                  <c:v>44748</c:v>
                </c:pt>
                <c:pt idx="958">
                  <c:v>44747</c:v>
                </c:pt>
                <c:pt idx="959">
                  <c:v>44743</c:v>
                </c:pt>
                <c:pt idx="960">
                  <c:v>44742</c:v>
                </c:pt>
                <c:pt idx="961">
                  <c:v>44741</c:v>
                </c:pt>
                <c:pt idx="962">
                  <c:v>44740</c:v>
                </c:pt>
                <c:pt idx="963">
                  <c:v>44739</c:v>
                </c:pt>
                <c:pt idx="964">
                  <c:v>44736</c:v>
                </c:pt>
                <c:pt idx="965">
                  <c:v>44735</c:v>
                </c:pt>
                <c:pt idx="966">
                  <c:v>44734</c:v>
                </c:pt>
                <c:pt idx="967">
                  <c:v>44733</c:v>
                </c:pt>
                <c:pt idx="968">
                  <c:v>44729</c:v>
                </c:pt>
                <c:pt idx="969">
                  <c:v>44728</c:v>
                </c:pt>
                <c:pt idx="970">
                  <c:v>44728</c:v>
                </c:pt>
                <c:pt idx="971">
                  <c:v>44727</c:v>
                </c:pt>
                <c:pt idx="972">
                  <c:v>44726</c:v>
                </c:pt>
                <c:pt idx="973">
                  <c:v>44725</c:v>
                </c:pt>
                <c:pt idx="974">
                  <c:v>44722</c:v>
                </c:pt>
                <c:pt idx="975">
                  <c:v>44721</c:v>
                </c:pt>
                <c:pt idx="976">
                  <c:v>44720</c:v>
                </c:pt>
                <c:pt idx="977">
                  <c:v>44719</c:v>
                </c:pt>
                <c:pt idx="978">
                  <c:v>44718</c:v>
                </c:pt>
                <c:pt idx="979">
                  <c:v>44715</c:v>
                </c:pt>
                <c:pt idx="980">
                  <c:v>44714</c:v>
                </c:pt>
                <c:pt idx="981">
                  <c:v>44713</c:v>
                </c:pt>
                <c:pt idx="982">
                  <c:v>44712</c:v>
                </c:pt>
                <c:pt idx="983">
                  <c:v>44708</c:v>
                </c:pt>
                <c:pt idx="984">
                  <c:v>44707</c:v>
                </c:pt>
                <c:pt idx="985">
                  <c:v>44706</c:v>
                </c:pt>
                <c:pt idx="986">
                  <c:v>44705</c:v>
                </c:pt>
                <c:pt idx="987">
                  <c:v>44704</c:v>
                </c:pt>
                <c:pt idx="988">
                  <c:v>44701</c:v>
                </c:pt>
                <c:pt idx="989">
                  <c:v>44700</c:v>
                </c:pt>
                <c:pt idx="990">
                  <c:v>44699</c:v>
                </c:pt>
                <c:pt idx="991">
                  <c:v>44698</c:v>
                </c:pt>
                <c:pt idx="992">
                  <c:v>44697</c:v>
                </c:pt>
                <c:pt idx="993">
                  <c:v>44694</c:v>
                </c:pt>
                <c:pt idx="994">
                  <c:v>44693</c:v>
                </c:pt>
                <c:pt idx="995">
                  <c:v>44692</c:v>
                </c:pt>
                <c:pt idx="996">
                  <c:v>44691</c:v>
                </c:pt>
                <c:pt idx="997">
                  <c:v>44690</c:v>
                </c:pt>
                <c:pt idx="998">
                  <c:v>44687</c:v>
                </c:pt>
                <c:pt idx="999">
                  <c:v>44686</c:v>
                </c:pt>
                <c:pt idx="1000">
                  <c:v>44685</c:v>
                </c:pt>
                <c:pt idx="1001">
                  <c:v>44684</c:v>
                </c:pt>
                <c:pt idx="1002">
                  <c:v>44683</c:v>
                </c:pt>
                <c:pt idx="1003">
                  <c:v>44680</c:v>
                </c:pt>
                <c:pt idx="1004">
                  <c:v>44679</c:v>
                </c:pt>
                <c:pt idx="1005">
                  <c:v>44678</c:v>
                </c:pt>
                <c:pt idx="1006">
                  <c:v>44677</c:v>
                </c:pt>
                <c:pt idx="1007">
                  <c:v>44676</c:v>
                </c:pt>
                <c:pt idx="1008">
                  <c:v>44673</c:v>
                </c:pt>
                <c:pt idx="1009">
                  <c:v>44672</c:v>
                </c:pt>
                <c:pt idx="1010">
                  <c:v>44671</c:v>
                </c:pt>
                <c:pt idx="1011">
                  <c:v>44670</c:v>
                </c:pt>
                <c:pt idx="1012">
                  <c:v>44669</c:v>
                </c:pt>
                <c:pt idx="1013">
                  <c:v>44665</c:v>
                </c:pt>
                <c:pt idx="1014">
                  <c:v>44664</c:v>
                </c:pt>
                <c:pt idx="1015">
                  <c:v>44663</c:v>
                </c:pt>
                <c:pt idx="1016">
                  <c:v>44662</c:v>
                </c:pt>
                <c:pt idx="1017">
                  <c:v>44659</c:v>
                </c:pt>
              </c:numCache>
            </c:numRef>
          </c:val>
          <c:smooth val="0"/>
          <c:extLst>
            <c:ext xmlns:c16="http://schemas.microsoft.com/office/drawing/2014/chart" uri="{C3380CC4-5D6E-409C-BE32-E72D297353CC}">
              <c16:uniqueId val="{00000000-E440-554D-90AA-410E9F10D61A}"/>
            </c:ext>
          </c:extLst>
        </c:ser>
        <c:ser>
          <c:idx val="1"/>
          <c:order val="1"/>
          <c:tx>
            <c:strRef>
              <c:f>'Share Prices'!$B$1</c:f>
              <c:strCache>
                <c:ptCount val="1"/>
                <c:pt idx="0">
                  <c:v>Share Price History (ALIT US Equity)</c:v>
                </c:pt>
              </c:strCache>
            </c:strRef>
          </c:tx>
          <c:spPr>
            <a:ln cmpd="sng">
              <a:solidFill>
                <a:srgbClr val="E97132"/>
              </a:solidFill>
            </a:ln>
          </c:spPr>
          <c:marker>
            <c:symbol val="none"/>
          </c:marker>
          <c:cat>
            <c:numRef>
              <c:f>'Share Prices'!$A$2:$A$1019</c:f>
              <c:numCache>
                <c:formatCode>m/d/yyyy</c:formatCode>
                <c:ptCount val="1018"/>
                <c:pt idx="0">
                  <c:v>46120</c:v>
                </c:pt>
                <c:pt idx="1">
                  <c:v>46119</c:v>
                </c:pt>
                <c:pt idx="2">
                  <c:v>46118</c:v>
                </c:pt>
                <c:pt idx="3">
                  <c:v>46114</c:v>
                </c:pt>
                <c:pt idx="4">
                  <c:v>46113</c:v>
                </c:pt>
                <c:pt idx="5">
                  <c:v>46112</c:v>
                </c:pt>
                <c:pt idx="6">
                  <c:v>46111</c:v>
                </c:pt>
                <c:pt idx="7">
                  <c:v>46108</c:v>
                </c:pt>
                <c:pt idx="8">
                  <c:v>46107</c:v>
                </c:pt>
                <c:pt idx="9">
                  <c:v>46106</c:v>
                </c:pt>
                <c:pt idx="10">
                  <c:v>46105</c:v>
                </c:pt>
                <c:pt idx="11">
                  <c:v>46104</c:v>
                </c:pt>
                <c:pt idx="12">
                  <c:v>46101</c:v>
                </c:pt>
                <c:pt idx="13">
                  <c:v>46100</c:v>
                </c:pt>
                <c:pt idx="14">
                  <c:v>46099</c:v>
                </c:pt>
                <c:pt idx="15">
                  <c:v>46098</c:v>
                </c:pt>
                <c:pt idx="16">
                  <c:v>46097</c:v>
                </c:pt>
                <c:pt idx="17">
                  <c:v>46094</c:v>
                </c:pt>
                <c:pt idx="18">
                  <c:v>46093</c:v>
                </c:pt>
                <c:pt idx="19">
                  <c:v>46093</c:v>
                </c:pt>
                <c:pt idx="20">
                  <c:v>46092</c:v>
                </c:pt>
                <c:pt idx="21">
                  <c:v>46091</c:v>
                </c:pt>
                <c:pt idx="22">
                  <c:v>46090</c:v>
                </c:pt>
                <c:pt idx="23">
                  <c:v>46087</c:v>
                </c:pt>
                <c:pt idx="24">
                  <c:v>46086</c:v>
                </c:pt>
                <c:pt idx="25">
                  <c:v>46085</c:v>
                </c:pt>
                <c:pt idx="26">
                  <c:v>46084</c:v>
                </c:pt>
                <c:pt idx="27">
                  <c:v>46083</c:v>
                </c:pt>
                <c:pt idx="28">
                  <c:v>46080</c:v>
                </c:pt>
                <c:pt idx="29">
                  <c:v>46079</c:v>
                </c:pt>
                <c:pt idx="30">
                  <c:v>46078</c:v>
                </c:pt>
                <c:pt idx="31">
                  <c:v>46077</c:v>
                </c:pt>
                <c:pt idx="32">
                  <c:v>46076</c:v>
                </c:pt>
                <c:pt idx="33">
                  <c:v>46073</c:v>
                </c:pt>
                <c:pt idx="34">
                  <c:v>46072</c:v>
                </c:pt>
                <c:pt idx="35">
                  <c:v>46071</c:v>
                </c:pt>
                <c:pt idx="36">
                  <c:v>46070</c:v>
                </c:pt>
                <c:pt idx="37">
                  <c:v>46066</c:v>
                </c:pt>
                <c:pt idx="38">
                  <c:v>46065</c:v>
                </c:pt>
                <c:pt idx="39">
                  <c:v>46064</c:v>
                </c:pt>
                <c:pt idx="40">
                  <c:v>46063</c:v>
                </c:pt>
                <c:pt idx="41">
                  <c:v>46062</c:v>
                </c:pt>
                <c:pt idx="42">
                  <c:v>46059</c:v>
                </c:pt>
                <c:pt idx="43">
                  <c:v>46058</c:v>
                </c:pt>
                <c:pt idx="44">
                  <c:v>46057</c:v>
                </c:pt>
                <c:pt idx="45">
                  <c:v>46056</c:v>
                </c:pt>
                <c:pt idx="46">
                  <c:v>46055</c:v>
                </c:pt>
                <c:pt idx="47">
                  <c:v>46052</c:v>
                </c:pt>
                <c:pt idx="48">
                  <c:v>46051</c:v>
                </c:pt>
                <c:pt idx="49">
                  <c:v>46050</c:v>
                </c:pt>
                <c:pt idx="50">
                  <c:v>46049</c:v>
                </c:pt>
                <c:pt idx="51">
                  <c:v>46048</c:v>
                </c:pt>
                <c:pt idx="52">
                  <c:v>46045</c:v>
                </c:pt>
                <c:pt idx="53">
                  <c:v>46044</c:v>
                </c:pt>
                <c:pt idx="54">
                  <c:v>46043</c:v>
                </c:pt>
                <c:pt idx="55">
                  <c:v>46042</c:v>
                </c:pt>
                <c:pt idx="56">
                  <c:v>46038</c:v>
                </c:pt>
                <c:pt idx="57">
                  <c:v>46037</c:v>
                </c:pt>
                <c:pt idx="58">
                  <c:v>46036</c:v>
                </c:pt>
                <c:pt idx="59">
                  <c:v>46035</c:v>
                </c:pt>
                <c:pt idx="60">
                  <c:v>46034</c:v>
                </c:pt>
                <c:pt idx="61">
                  <c:v>46031</c:v>
                </c:pt>
                <c:pt idx="62">
                  <c:v>46030</c:v>
                </c:pt>
                <c:pt idx="63">
                  <c:v>46029</c:v>
                </c:pt>
                <c:pt idx="64">
                  <c:v>46028</c:v>
                </c:pt>
                <c:pt idx="65">
                  <c:v>46027</c:v>
                </c:pt>
                <c:pt idx="66">
                  <c:v>46024</c:v>
                </c:pt>
                <c:pt idx="67">
                  <c:v>46022</c:v>
                </c:pt>
                <c:pt idx="68">
                  <c:v>46021</c:v>
                </c:pt>
                <c:pt idx="69">
                  <c:v>46020</c:v>
                </c:pt>
                <c:pt idx="70">
                  <c:v>46017</c:v>
                </c:pt>
                <c:pt idx="71">
                  <c:v>46015</c:v>
                </c:pt>
                <c:pt idx="72">
                  <c:v>46014</c:v>
                </c:pt>
                <c:pt idx="73">
                  <c:v>46013</c:v>
                </c:pt>
                <c:pt idx="74">
                  <c:v>46010</c:v>
                </c:pt>
                <c:pt idx="75">
                  <c:v>46009</c:v>
                </c:pt>
                <c:pt idx="76">
                  <c:v>46008</c:v>
                </c:pt>
                <c:pt idx="77">
                  <c:v>46007</c:v>
                </c:pt>
                <c:pt idx="78">
                  <c:v>46006</c:v>
                </c:pt>
                <c:pt idx="79">
                  <c:v>46003</c:v>
                </c:pt>
                <c:pt idx="80">
                  <c:v>46002</c:v>
                </c:pt>
                <c:pt idx="81">
                  <c:v>46001</c:v>
                </c:pt>
                <c:pt idx="82">
                  <c:v>46000</c:v>
                </c:pt>
                <c:pt idx="83">
                  <c:v>45999</c:v>
                </c:pt>
                <c:pt idx="84">
                  <c:v>45996</c:v>
                </c:pt>
                <c:pt idx="85">
                  <c:v>45995</c:v>
                </c:pt>
                <c:pt idx="86">
                  <c:v>45994</c:v>
                </c:pt>
                <c:pt idx="87">
                  <c:v>45994</c:v>
                </c:pt>
                <c:pt idx="88">
                  <c:v>45993</c:v>
                </c:pt>
                <c:pt idx="89">
                  <c:v>45992</c:v>
                </c:pt>
                <c:pt idx="90">
                  <c:v>45989</c:v>
                </c:pt>
                <c:pt idx="91">
                  <c:v>45987</c:v>
                </c:pt>
                <c:pt idx="92">
                  <c:v>45986</c:v>
                </c:pt>
                <c:pt idx="93">
                  <c:v>45985</c:v>
                </c:pt>
                <c:pt idx="94">
                  <c:v>45982</c:v>
                </c:pt>
                <c:pt idx="95">
                  <c:v>45981</c:v>
                </c:pt>
                <c:pt idx="96">
                  <c:v>45980</c:v>
                </c:pt>
                <c:pt idx="97">
                  <c:v>45979</c:v>
                </c:pt>
                <c:pt idx="98">
                  <c:v>45978</c:v>
                </c:pt>
                <c:pt idx="99">
                  <c:v>45975</c:v>
                </c:pt>
                <c:pt idx="100">
                  <c:v>45974</c:v>
                </c:pt>
                <c:pt idx="101">
                  <c:v>45973</c:v>
                </c:pt>
                <c:pt idx="102">
                  <c:v>45972</c:v>
                </c:pt>
                <c:pt idx="103">
                  <c:v>45971</c:v>
                </c:pt>
                <c:pt idx="104">
                  <c:v>45968</c:v>
                </c:pt>
                <c:pt idx="105">
                  <c:v>45967</c:v>
                </c:pt>
                <c:pt idx="106">
                  <c:v>45966</c:v>
                </c:pt>
                <c:pt idx="107">
                  <c:v>45965</c:v>
                </c:pt>
                <c:pt idx="108">
                  <c:v>45964</c:v>
                </c:pt>
                <c:pt idx="109">
                  <c:v>45961</c:v>
                </c:pt>
                <c:pt idx="110">
                  <c:v>45960</c:v>
                </c:pt>
                <c:pt idx="111">
                  <c:v>45959</c:v>
                </c:pt>
                <c:pt idx="112">
                  <c:v>45958</c:v>
                </c:pt>
                <c:pt idx="113">
                  <c:v>45957</c:v>
                </c:pt>
                <c:pt idx="114">
                  <c:v>45954</c:v>
                </c:pt>
                <c:pt idx="115">
                  <c:v>45953</c:v>
                </c:pt>
                <c:pt idx="116">
                  <c:v>45952</c:v>
                </c:pt>
                <c:pt idx="117">
                  <c:v>45951</c:v>
                </c:pt>
                <c:pt idx="118">
                  <c:v>45950</c:v>
                </c:pt>
                <c:pt idx="119">
                  <c:v>45947</c:v>
                </c:pt>
                <c:pt idx="120">
                  <c:v>45946</c:v>
                </c:pt>
                <c:pt idx="121">
                  <c:v>45945</c:v>
                </c:pt>
                <c:pt idx="122">
                  <c:v>45944</c:v>
                </c:pt>
                <c:pt idx="123">
                  <c:v>45943</c:v>
                </c:pt>
                <c:pt idx="124">
                  <c:v>45940</c:v>
                </c:pt>
                <c:pt idx="125">
                  <c:v>45939</c:v>
                </c:pt>
                <c:pt idx="126">
                  <c:v>45938</c:v>
                </c:pt>
                <c:pt idx="127">
                  <c:v>45937</c:v>
                </c:pt>
                <c:pt idx="128">
                  <c:v>45936</c:v>
                </c:pt>
                <c:pt idx="129">
                  <c:v>45933</c:v>
                </c:pt>
                <c:pt idx="130">
                  <c:v>45932</c:v>
                </c:pt>
                <c:pt idx="131">
                  <c:v>45931</c:v>
                </c:pt>
                <c:pt idx="132">
                  <c:v>45930</c:v>
                </c:pt>
                <c:pt idx="133">
                  <c:v>45929</c:v>
                </c:pt>
                <c:pt idx="134">
                  <c:v>45926</c:v>
                </c:pt>
                <c:pt idx="135">
                  <c:v>45925</c:v>
                </c:pt>
                <c:pt idx="136">
                  <c:v>45924</c:v>
                </c:pt>
                <c:pt idx="137">
                  <c:v>45923</c:v>
                </c:pt>
                <c:pt idx="138">
                  <c:v>45922</c:v>
                </c:pt>
                <c:pt idx="139">
                  <c:v>45919</c:v>
                </c:pt>
                <c:pt idx="140">
                  <c:v>45918</c:v>
                </c:pt>
                <c:pt idx="141">
                  <c:v>45917</c:v>
                </c:pt>
                <c:pt idx="142">
                  <c:v>45916</c:v>
                </c:pt>
                <c:pt idx="143">
                  <c:v>45915</c:v>
                </c:pt>
                <c:pt idx="144">
                  <c:v>45912</c:v>
                </c:pt>
                <c:pt idx="145">
                  <c:v>45911</c:v>
                </c:pt>
                <c:pt idx="146">
                  <c:v>45911</c:v>
                </c:pt>
                <c:pt idx="147">
                  <c:v>45910</c:v>
                </c:pt>
                <c:pt idx="148">
                  <c:v>45909</c:v>
                </c:pt>
                <c:pt idx="149">
                  <c:v>45908</c:v>
                </c:pt>
                <c:pt idx="150">
                  <c:v>45905</c:v>
                </c:pt>
                <c:pt idx="151">
                  <c:v>45904</c:v>
                </c:pt>
                <c:pt idx="152">
                  <c:v>45903</c:v>
                </c:pt>
                <c:pt idx="153">
                  <c:v>45902</c:v>
                </c:pt>
                <c:pt idx="154">
                  <c:v>45898</c:v>
                </c:pt>
                <c:pt idx="155">
                  <c:v>45897</c:v>
                </c:pt>
                <c:pt idx="156">
                  <c:v>45896</c:v>
                </c:pt>
                <c:pt idx="157">
                  <c:v>45895</c:v>
                </c:pt>
                <c:pt idx="158">
                  <c:v>45894</c:v>
                </c:pt>
                <c:pt idx="159">
                  <c:v>45891</c:v>
                </c:pt>
                <c:pt idx="160">
                  <c:v>45890</c:v>
                </c:pt>
                <c:pt idx="161">
                  <c:v>45889</c:v>
                </c:pt>
                <c:pt idx="162">
                  <c:v>45888</c:v>
                </c:pt>
                <c:pt idx="163">
                  <c:v>45887</c:v>
                </c:pt>
                <c:pt idx="164">
                  <c:v>45884</c:v>
                </c:pt>
                <c:pt idx="165">
                  <c:v>45883</c:v>
                </c:pt>
                <c:pt idx="166">
                  <c:v>45882</c:v>
                </c:pt>
                <c:pt idx="167">
                  <c:v>45881</c:v>
                </c:pt>
                <c:pt idx="168">
                  <c:v>45880</c:v>
                </c:pt>
                <c:pt idx="169">
                  <c:v>45877</c:v>
                </c:pt>
                <c:pt idx="170">
                  <c:v>45876</c:v>
                </c:pt>
                <c:pt idx="171">
                  <c:v>45875</c:v>
                </c:pt>
                <c:pt idx="172">
                  <c:v>45874</c:v>
                </c:pt>
                <c:pt idx="173">
                  <c:v>45873</c:v>
                </c:pt>
                <c:pt idx="174">
                  <c:v>45870</c:v>
                </c:pt>
                <c:pt idx="175">
                  <c:v>45869</c:v>
                </c:pt>
                <c:pt idx="176">
                  <c:v>45868</c:v>
                </c:pt>
                <c:pt idx="177">
                  <c:v>45867</c:v>
                </c:pt>
                <c:pt idx="178">
                  <c:v>45866</c:v>
                </c:pt>
                <c:pt idx="179">
                  <c:v>45863</c:v>
                </c:pt>
                <c:pt idx="180">
                  <c:v>45862</c:v>
                </c:pt>
                <c:pt idx="181">
                  <c:v>45861</c:v>
                </c:pt>
                <c:pt idx="182">
                  <c:v>45860</c:v>
                </c:pt>
                <c:pt idx="183">
                  <c:v>45859</c:v>
                </c:pt>
                <c:pt idx="184">
                  <c:v>45856</c:v>
                </c:pt>
                <c:pt idx="185">
                  <c:v>45855</c:v>
                </c:pt>
                <c:pt idx="186">
                  <c:v>45854</c:v>
                </c:pt>
                <c:pt idx="187">
                  <c:v>45853</c:v>
                </c:pt>
                <c:pt idx="188">
                  <c:v>45852</c:v>
                </c:pt>
                <c:pt idx="189">
                  <c:v>45849</c:v>
                </c:pt>
                <c:pt idx="190">
                  <c:v>45848</c:v>
                </c:pt>
                <c:pt idx="191">
                  <c:v>45847</c:v>
                </c:pt>
                <c:pt idx="192">
                  <c:v>45846</c:v>
                </c:pt>
                <c:pt idx="193">
                  <c:v>45845</c:v>
                </c:pt>
                <c:pt idx="194">
                  <c:v>45841</c:v>
                </c:pt>
                <c:pt idx="195">
                  <c:v>45840</c:v>
                </c:pt>
                <c:pt idx="196">
                  <c:v>45839</c:v>
                </c:pt>
                <c:pt idx="197">
                  <c:v>45838</c:v>
                </c:pt>
                <c:pt idx="198">
                  <c:v>45835</c:v>
                </c:pt>
                <c:pt idx="199">
                  <c:v>45834</c:v>
                </c:pt>
                <c:pt idx="200">
                  <c:v>45833</c:v>
                </c:pt>
                <c:pt idx="201">
                  <c:v>45832</c:v>
                </c:pt>
                <c:pt idx="202">
                  <c:v>45831</c:v>
                </c:pt>
                <c:pt idx="203">
                  <c:v>45828</c:v>
                </c:pt>
                <c:pt idx="204">
                  <c:v>45826</c:v>
                </c:pt>
                <c:pt idx="205">
                  <c:v>45826</c:v>
                </c:pt>
                <c:pt idx="206">
                  <c:v>45825</c:v>
                </c:pt>
                <c:pt idx="207">
                  <c:v>45824</c:v>
                </c:pt>
                <c:pt idx="208">
                  <c:v>45821</c:v>
                </c:pt>
                <c:pt idx="209">
                  <c:v>45820</c:v>
                </c:pt>
                <c:pt idx="210">
                  <c:v>45819</c:v>
                </c:pt>
                <c:pt idx="211">
                  <c:v>45818</c:v>
                </c:pt>
                <c:pt idx="212">
                  <c:v>45817</c:v>
                </c:pt>
                <c:pt idx="213">
                  <c:v>45814</c:v>
                </c:pt>
                <c:pt idx="214">
                  <c:v>45813</c:v>
                </c:pt>
                <c:pt idx="215">
                  <c:v>45812</c:v>
                </c:pt>
                <c:pt idx="216">
                  <c:v>45811</c:v>
                </c:pt>
                <c:pt idx="217">
                  <c:v>45810</c:v>
                </c:pt>
                <c:pt idx="218">
                  <c:v>45807</c:v>
                </c:pt>
                <c:pt idx="219">
                  <c:v>45806</c:v>
                </c:pt>
                <c:pt idx="220">
                  <c:v>45805</c:v>
                </c:pt>
                <c:pt idx="221">
                  <c:v>45804</c:v>
                </c:pt>
                <c:pt idx="222">
                  <c:v>45800</c:v>
                </c:pt>
                <c:pt idx="223">
                  <c:v>45799</c:v>
                </c:pt>
                <c:pt idx="224">
                  <c:v>45798</c:v>
                </c:pt>
                <c:pt idx="225">
                  <c:v>45797</c:v>
                </c:pt>
                <c:pt idx="226">
                  <c:v>45796</c:v>
                </c:pt>
                <c:pt idx="227">
                  <c:v>45793</c:v>
                </c:pt>
                <c:pt idx="228">
                  <c:v>45792</c:v>
                </c:pt>
                <c:pt idx="229">
                  <c:v>45791</c:v>
                </c:pt>
                <c:pt idx="230">
                  <c:v>45790</c:v>
                </c:pt>
                <c:pt idx="231">
                  <c:v>45789</c:v>
                </c:pt>
                <c:pt idx="232">
                  <c:v>45786</c:v>
                </c:pt>
                <c:pt idx="233">
                  <c:v>45785</c:v>
                </c:pt>
                <c:pt idx="234">
                  <c:v>45784</c:v>
                </c:pt>
                <c:pt idx="235">
                  <c:v>45783</c:v>
                </c:pt>
                <c:pt idx="236">
                  <c:v>45782</c:v>
                </c:pt>
                <c:pt idx="237">
                  <c:v>45779</c:v>
                </c:pt>
                <c:pt idx="238">
                  <c:v>45778</c:v>
                </c:pt>
                <c:pt idx="239">
                  <c:v>45777</c:v>
                </c:pt>
                <c:pt idx="240">
                  <c:v>45776</c:v>
                </c:pt>
                <c:pt idx="241">
                  <c:v>45775</c:v>
                </c:pt>
                <c:pt idx="242">
                  <c:v>45772</c:v>
                </c:pt>
                <c:pt idx="243">
                  <c:v>45771</c:v>
                </c:pt>
                <c:pt idx="244">
                  <c:v>45770</c:v>
                </c:pt>
                <c:pt idx="245">
                  <c:v>45769</c:v>
                </c:pt>
                <c:pt idx="246">
                  <c:v>45768</c:v>
                </c:pt>
                <c:pt idx="247">
                  <c:v>45764</c:v>
                </c:pt>
                <c:pt idx="248">
                  <c:v>45763</c:v>
                </c:pt>
                <c:pt idx="249">
                  <c:v>45762</c:v>
                </c:pt>
                <c:pt idx="250">
                  <c:v>45761</c:v>
                </c:pt>
                <c:pt idx="251">
                  <c:v>45758</c:v>
                </c:pt>
                <c:pt idx="252">
                  <c:v>45757</c:v>
                </c:pt>
                <c:pt idx="253">
                  <c:v>45756</c:v>
                </c:pt>
                <c:pt idx="254">
                  <c:v>45755</c:v>
                </c:pt>
                <c:pt idx="255">
                  <c:v>45754</c:v>
                </c:pt>
                <c:pt idx="256">
                  <c:v>45751</c:v>
                </c:pt>
                <c:pt idx="257">
                  <c:v>45750</c:v>
                </c:pt>
                <c:pt idx="258">
                  <c:v>45749</c:v>
                </c:pt>
                <c:pt idx="259">
                  <c:v>45748</c:v>
                </c:pt>
                <c:pt idx="260">
                  <c:v>45747</c:v>
                </c:pt>
                <c:pt idx="261">
                  <c:v>45744</c:v>
                </c:pt>
                <c:pt idx="262">
                  <c:v>45743</c:v>
                </c:pt>
                <c:pt idx="263">
                  <c:v>45742</c:v>
                </c:pt>
                <c:pt idx="264">
                  <c:v>45741</c:v>
                </c:pt>
                <c:pt idx="265">
                  <c:v>45740</c:v>
                </c:pt>
                <c:pt idx="266">
                  <c:v>45737</c:v>
                </c:pt>
                <c:pt idx="267">
                  <c:v>45736</c:v>
                </c:pt>
                <c:pt idx="268">
                  <c:v>45735</c:v>
                </c:pt>
                <c:pt idx="269">
                  <c:v>45734</c:v>
                </c:pt>
                <c:pt idx="270">
                  <c:v>45733</c:v>
                </c:pt>
                <c:pt idx="271">
                  <c:v>45730</c:v>
                </c:pt>
                <c:pt idx="272">
                  <c:v>45729</c:v>
                </c:pt>
                <c:pt idx="273">
                  <c:v>45729</c:v>
                </c:pt>
                <c:pt idx="274">
                  <c:v>45728</c:v>
                </c:pt>
                <c:pt idx="275">
                  <c:v>45727</c:v>
                </c:pt>
                <c:pt idx="276">
                  <c:v>45726</c:v>
                </c:pt>
                <c:pt idx="277">
                  <c:v>45723</c:v>
                </c:pt>
                <c:pt idx="278">
                  <c:v>45722</c:v>
                </c:pt>
                <c:pt idx="279">
                  <c:v>45721</c:v>
                </c:pt>
                <c:pt idx="280">
                  <c:v>45720</c:v>
                </c:pt>
                <c:pt idx="281">
                  <c:v>45719</c:v>
                </c:pt>
                <c:pt idx="282">
                  <c:v>45716</c:v>
                </c:pt>
                <c:pt idx="283">
                  <c:v>45715</c:v>
                </c:pt>
                <c:pt idx="284">
                  <c:v>45714</c:v>
                </c:pt>
                <c:pt idx="285">
                  <c:v>45713</c:v>
                </c:pt>
                <c:pt idx="286">
                  <c:v>45712</c:v>
                </c:pt>
                <c:pt idx="287">
                  <c:v>45709</c:v>
                </c:pt>
                <c:pt idx="288">
                  <c:v>45708</c:v>
                </c:pt>
                <c:pt idx="289">
                  <c:v>45707</c:v>
                </c:pt>
                <c:pt idx="290">
                  <c:v>45706</c:v>
                </c:pt>
                <c:pt idx="291">
                  <c:v>45702</c:v>
                </c:pt>
                <c:pt idx="292">
                  <c:v>45701</c:v>
                </c:pt>
                <c:pt idx="293">
                  <c:v>45700</c:v>
                </c:pt>
                <c:pt idx="294">
                  <c:v>45699</c:v>
                </c:pt>
                <c:pt idx="295">
                  <c:v>45698</c:v>
                </c:pt>
                <c:pt idx="296">
                  <c:v>45695</c:v>
                </c:pt>
                <c:pt idx="297">
                  <c:v>45694</c:v>
                </c:pt>
                <c:pt idx="298">
                  <c:v>45693</c:v>
                </c:pt>
                <c:pt idx="299">
                  <c:v>45692</c:v>
                </c:pt>
                <c:pt idx="300">
                  <c:v>45691</c:v>
                </c:pt>
                <c:pt idx="301">
                  <c:v>45688</c:v>
                </c:pt>
                <c:pt idx="302">
                  <c:v>45687</c:v>
                </c:pt>
                <c:pt idx="303">
                  <c:v>45686</c:v>
                </c:pt>
                <c:pt idx="304">
                  <c:v>45685</c:v>
                </c:pt>
                <c:pt idx="305">
                  <c:v>45684</c:v>
                </c:pt>
                <c:pt idx="306">
                  <c:v>45681</c:v>
                </c:pt>
                <c:pt idx="307">
                  <c:v>45680</c:v>
                </c:pt>
                <c:pt idx="308">
                  <c:v>45679</c:v>
                </c:pt>
                <c:pt idx="309">
                  <c:v>45678</c:v>
                </c:pt>
                <c:pt idx="310">
                  <c:v>45674</c:v>
                </c:pt>
                <c:pt idx="311">
                  <c:v>45673</c:v>
                </c:pt>
                <c:pt idx="312">
                  <c:v>45672</c:v>
                </c:pt>
                <c:pt idx="313">
                  <c:v>45671</c:v>
                </c:pt>
                <c:pt idx="314">
                  <c:v>45670</c:v>
                </c:pt>
                <c:pt idx="315">
                  <c:v>45667</c:v>
                </c:pt>
                <c:pt idx="316">
                  <c:v>45665</c:v>
                </c:pt>
                <c:pt idx="317">
                  <c:v>45664</c:v>
                </c:pt>
                <c:pt idx="318">
                  <c:v>45663</c:v>
                </c:pt>
                <c:pt idx="319">
                  <c:v>45660</c:v>
                </c:pt>
                <c:pt idx="320">
                  <c:v>45659</c:v>
                </c:pt>
                <c:pt idx="321">
                  <c:v>45657</c:v>
                </c:pt>
                <c:pt idx="322">
                  <c:v>45656</c:v>
                </c:pt>
                <c:pt idx="323">
                  <c:v>45653</c:v>
                </c:pt>
                <c:pt idx="324">
                  <c:v>45652</c:v>
                </c:pt>
                <c:pt idx="325">
                  <c:v>45650</c:v>
                </c:pt>
                <c:pt idx="326">
                  <c:v>45649</c:v>
                </c:pt>
                <c:pt idx="327">
                  <c:v>45646</c:v>
                </c:pt>
                <c:pt idx="328">
                  <c:v>45645</c:v>
                </c:pt>
                <c:pt idx="329">
                  <c:v>45644</c:v>
                </c:pt>
                <c:pt idx="330">
                  <c:v>45643</c:v>
                </c:pt>
                <c:pt idx="331">
                  <c:v>45642</c:v>
                </c:pt>
                <c:pt idx="332">
                  <c:v>45639</c:v>
                </c:pt>
                <c:pt idx="333">
                  <c:v>45638</c:v>
                </c:pt>
                <c:pt idx="334">
                  <c:v>45637</c:v>
                </c:pt>
                <c:pt idx="335">
                  <c:v>45636</c:v>
                </c:pt>
                <c:pt idx="336">
                  <c:v>45635</c:v>
                </c:pt>
                <c:pt idx="337">
                  <c:v>45632</c:v>
                </c:pt>
                <c:pt idx="338">
                  <c:v>45631</c:v>
                </c:pt>
                <c:pt idx="339">
                  <c:v>45630</c:v>
                </c:pt>
                <c:pt idx="340">
                  <c:v>45629</c:v>
                </c:pt>
                <c:pt idx="341">
                  <c:v>45629</c:v>
                </c:pt>
                <c:pt idx="342">
                  <c:v>45628</c:v>
                </c:pt>
                <c:pt idx="343">
                  <c:v>45625</c:v>
                </c:pt>
                <c:pt idx="344">
                  <c:v>45623</c:v>
                </c:pt>
                <c:pt idx="345">
                  <c:v>45622</c:v>
                </c:pt>
                <c:pt idx="346">
                  <c:v>45621</c:v>
                </c:pt>
                <c:pt idx="347">
                  <c:v>45618</c:v>
                </c:pt>
                <c:pt idx="348">
                  <c:v>45617</c:v>
                </c:pt>
                <c:pt idx="349">
                  <c:v>45616</c:v>
                </c:pt>
                <c:pt idx="350">
                  <c:v>45615</c:v>
                </c:pt>
                <c:pt idx="351">
                  <c:v>45614</c:v>
                </c:pt>
                <c:pt idx="352">
                  <c:v>45611</c:v>
                </c:pt>
                <c:pt idx="353">
                  <c:v>45610</c:v>
                </c:pt>
                <c:pt idx="354">
                  <c:v>45609</c:v>
                </c:pt>
                <c:pt idx="355">
                  <c:v>45608</c:v>
                </c:pt>
                <c:pt idx="356">
                  <c:v>45607</c:v>
                </c:pt>
                <c:pt idx="357">
                  <c:v>45604</c:v>
                </c:pt>
                <c:pt idx="358">
                  <c:v>45603</c:v>
                </c:pt>
                <c:pt idx="359">
                  <c:v>45602</c:v>
                </c:pt>
                <c:pt idx="360">
                  <c:v>45601</c:v>
                </c:pt>
                <c:pt idx="361">
                  <c:v>45600</c:v>
                </c:pt>
                <c:pt idx="362">
                  <c:v>45597</c:v>
                </c:pt>
                <c:pt idx="363">
                  <c:v>45596</c:v>
                </c:pt>
                <c:pt idx="364">
                  <c:v>45595</c:v>
                </c:pt>
                <c:pt idx="365">
                  <c:v>45594</c:v>
                </c:pt>
                <c:pt idx="366">
                  <c:v>45593</c:v>
                </c:pt>
                <c:pt idx="367">
                  <c:v>45590</c:v>
                </c:pt>
                <c:pt idx="368">
                  <c:v>45589</c:v>
                </c:pt>
                <c:pt idx="369">
                  <c:v>45588</c:v>
                </c:pt>
                <c:pt idx="370">
                  <c:v>45587</c:v>
                </c:pt>
                <c:pt idx="371">
                  <c:v>45586</c:v>
                </c:pt>
                <c:pt idx="372">
                  <c:v>45583</c:v>
                </c:pt>
                <c:pt idx="373">
                  <c:v>45582</c:v>
                </c:pt>
                <c:pt idx="374">
                  <c:v>45581</c:v>
                </c:pt>
                <c:pt idx="375">
                  <c:v>45580</c:v>
                </c:pt>
                <c:pt idx="376">
                  <c:v>45579</c:v>
                </c:pt>
                <c:pt idx="377">
                  <c:v>45576</c:v>
                </c:pt>
                <c:pt idx="378">
                  <c:v>45575</c:v>
                </c:pt>
                <c:pt idx="379">
                  <c:v>45574</c:v>
                </c:pt>
                <c:pt idx="380">
                  <c:v>45573</c:v>
                </c:pt>
                <c:pt idx="381">
                  <c:v>45572</c:v>
                </c:pt>
                <c:pt idx="382">
                  <c:v>45569</c:v>
                </c:pt>
                <c:pt idx="383">
                  <c:v>45568</c:v>
                </c:pt>
                <c:pt idx="384">
                  <c:v>45567</c:v>
                </c:pt>
                <c:pt idx="385">
                  <c:v>45566</c:v>
                </c:pt>
                <c:pt idx="386">
                  <c:v>45565</c:v>
                </c:pt>
                <c:pt idx="387">
                  <c:v>45562</c:v>
                </c:pt>
                <c:pt idx="388">
                  <c:v>45561</c:v>
                </c:pt>
                <c:pt idx="389">
                  <c:v>45560</c:v>
                </c:pt>
                <c:pt idx="390">
                  <c:v>45559</c:v>
                </c:pt>
                <c:pt idx="391">
                  <c:v>45558</c:v>
                </c:pt>
                <c:pt idx="392">
                  <c:v>45555</c:v>
                </c:pt>
                <c:pt idx="393">
                  <c:v>45554</c:v>
                </c:pt>
                <c:pt idx="394">
                  <c:v>45553</c:v>
                </c:pt>
                <c:pt idx="395">
                  <c:v>45552</c:v>
                </c:pt>
                <c:pt idx="396">
                  <c:v>45551</c:v>
                </c:pt>
                <c:pt idx="397">
                  <c:v>45548</c:v>
                </c:pt>
                <c:pt idx="398">
                  <c:v>45547</c:v>
                </c:pt>
                <c:pt idx="399">
                  <c:v>45546</c:v>
                </c:pt>
                <c:pt idx="400">
                  <c:v>45545</c:v>
                </c:pt>
                <c:pt idx="401">
                  <c:v>45545</c:v>
                </c:pt>
                <c:pt idx="402">
                  <c:v>45544</c:v>
                </c:pt>
                <c:pt idx="403">
                  <c:v>45541</c:v>
                </c:pt>
                <c:pt idx="404">
                  <c:v>45540</c:v>
                </c:pt>
                <c:pt idx="405">
                  <c:v>45539</c:v>
                </c:pt>
                <c:pt idx="406">
                  <c:v>45538</c:v>
                </c:pt>
                <c:pt idx="407">
                  <c:v>45534</c:v>
                </c:pt>
                <c:pt idx="408">
                  <c:v>45533</c:v>
                </c:pt>
                <c:pt idx="409">
                  <c:v>45532</c:v>
                </c:pt>
                <c:pt idx="410">
                  <c:v>45531</c:v>
                </c:pt>
                <c:pt idx="411">
                  <c:v>45530</c:v>
                </c:pt>
                <c:pt idx="412">
                  <c:v>45527</c:v>
                </c:pt>
                <c:pt idx="413">
                  <c:v>45526</c:v>
                </c:pt>
                <c:pt idx="414">
                  <c:v>45525</c:v>
                </c:pt>
                <c:pt idx="415">
                  <c:v>45524</c:v>
                </c:pt>
                <c:pt idx="416">
                  <c:v>45523</c:v>
                </c:pt>
                <c:pt idx="417">
                  <c:v>45520</c:v>
                </c:pt>
                <c:pt idx="418">
                  <c:v>45519</c:v>
                </c:pt>
                <c:pt idx="419">
                  <c:v>45518</c:v>
                </c:pt>
                <c:pt idx="420">
                  <c:v>45517</c:v>
                </c:pt>
                <c:pt idx="421">
                  <c:v>45516</c:v>
                </c:pt>
                <c:pt idx="422">
                  <c:v>45513</c:v>
                </c:pt>
                <c:pt idx="423">
                  <c:v>45512</c:v>
                </c:pt>
                <c:pt idx="424">
                  <c:v>45511</c:v>
                </c:pt>
                <c:pt idx="425">
                  <c:v>45510</c:v>
                </c:pt>
                <c:pt idx="426">
                  <c:v>45509</c:v>
                </c:pt>
                <c:pt idx="427">
                  <c:v>45506</c:v>
                </c:pt>
                <c:pt idx="428">
                  <c:v>45505</c:v>
                </c:pt>
                <c:pt idx="429">
                  <c:v>45504</c:v>
                </c:pt>
                <c:pt idx="430">
                  <c:v>45503</c:v>
                </c:pt>
                <c:pt idx="431">
                  <c:v>45502</c:v>
                </c:pt>
                <c:pt idx="432">
                  <c:v>45499</c:v>
                </c:pt>
                <c:pt idx="433">
                  <c:v>45498</c:v>
                </c:pt>
                <c:pt idx="434">
                  <c:v>45497</c:v>
                </c:pt>
                <c:pt idx="435">
                  <c:v>45496</c:v>
                </c:pt>
                <c:pt idx="436">
                  <c:v>45495</c:v>
                </c:pt>
                <c:pt idx="437">
                  <c:v>45492</c:v>
                </c:pt>
                <c:pt idx="438">
                  <c:v>45491</c:v>
                </c:pt>
                <c:pt idx="439">
                  <c:v>45490</c:v>
                </c:pt>
                <c:pt idx="440">
                  <c:v>45489</c:v>
                </c:pt>
                <c:pt idx="441">
                  <c:v>45488</c:v>
                </c:pt>
                <c:pt idx="442">
                  <c:v>45485</c:v>
                </c:pt>
                <c:pt idx="443">
                  <c:v>45484</c:v>
                </c:pt>
                <c:pt idx="444">
                  <c:v>45483</c:v>
                </c:pt>
                <c:pt idx="445">
                  <c:v>45482</c:v>
                </c:pt>
                <c:pt idx="446">
                  <c:v>45481</c:v>
                </c:pt>
                <c:pt idx="447">
                  <c:v>45478</c:v>
                </c:pt>
                <c:pt idx="448">
                  <c:v>45476</c:v>
                </c:pt>
                <c:pt idx="449">
                  <c:v>45475</c:v>
                </c:pt>
                <c:pt idx="450">
                  <c:v>45474</c:v>
                </c:pt>
                <c:pt idx="451">
                  <c:v>45471</c:v>
                </c:pt>
                <c:pt idx="452">
                  <c:v>45470</c:v>
                </c:pt>
                <c:pt idx="453">
                  <c:v>45469</c:v>
                </c:pt>
                <c:pt idx="454">
                  <c:v>45468</c:v>
                </c:pt>
                <c:pt idx="455">
                  <c:v>45467</c:v>
                </c:pt>
                <c:pt idx="456">
                  <c:v>45464</c:v>
                </c:pt>
                <c:pt idx="457">
                  <c:v>45463</c:v>
                </c:pt>
                <c:pt idx="458">
                  <c:v>45461</c:v>
                </c:pt>
                <c:pt idx="459">
                  <c:v>45460</c:v>
                </c:pt>
                <c:pt idx="460">
                  <c:v>45457</c:v>
                </c:pt>
                <c:pt idx="461">
                  <c:v>45456</c:v>
                </c:pt>
                <c:pt idx="462">
                  <c:v>45456</c:v>
                </c:pt>
                <c:pt idx="463">
                  <c:v>45455</c:v>
                </c:pt>
                <c:pt idx="464">
                  <c:v>45454</c:v>
                </c:pt>
                <c:pt idx="465">
                  <c:v>45453</c:v>
                </c:pt>
                <c:pt idx="466">
                  <c:v>45450</c:v>
                </c:pt>
                <c:pt idx="467">
                  <c:v>45449</c:v>
                </c:pt>
                <c:pt idx="468">
                  <c:v>45448</c:v>
                </c:pt>
                <c:pt idx="469">
                  <c:v>45447</c:v>
                </c:pt>
                <c:pt idx="470">
                  <c:v>45446</c:v>
                </c:pt>
                <c:pt idx="471">
                  <c:v>45443</c:v>
                </c:pt>
                <c:pt idx="472">
                  <c:v>45442</c:v>
                </c:pt>
                <c:pt idx="473">
                  <c:v>45441</c:v>
                </c:pt>
                <c:pt idx="474">
                  <c:v>45440</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45379</c:v>
                </c:pt>
                <c:pt idx="516">
                  <c:v>45378</c:v>
                </c:pt>
                <c:pt idx="517">
                  <c:v>45377</c:v>
                </c:pt>
                <c:pt idx="518">
                  <c:v>45376</c:v>
                </c:pt>
                <c:pt idx="519">
                  <c:v>45373</c:v>
                </c:pt>
                <c:pt idx="520">
                  <c:v>45372</c:v>
                </c:pt>
                <c:pt idx="521">
                  <c:v>45371</c:v>
                </c:pt>
                <c:pt idx="522">
                  <c:v>45370</c:v>
                </c:pt>
                <c:pt idx="523">
                  <c:v>45369</c:v>
                </c:pt>
                <c:pt idx="524">
                  <c:v>45366</c:v>
                </c:pt>
                <c:pt idx="525">
                  <c:v>45365</c:v>
                </c:pt>
                <c:pt idx="526">
                  <c:v>45364</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45338</c:v>
                </c:pt>
                <c:pt idx="545">
                  <c:v>45337</c:v>
                </c:pt>
                <c:pt idx="546">
                  <c:v>45336</c:v>
                </c:pt>
                <c:pt idx="547">
                  <c:v>45335</c:v>
                </c:pt>
                <c:pt idx="548">
                  <c:v>45334</c:v>
                </c:pt>
                <c:pt idx="549">
                  <c:v>45331</c:v>
                </c:pt>
                <c:pt idx="550">
                  <c:v>45330</c:v>
                </c:pt>
                <c:pt idx="551">
                  <c:v>45329</c:v>
                </c:pt>
                <c:pt idx="552">
                  <c:v>45328</c:v>
                </c:pt>
                <c:pt idx="553">
                  <c:v>45327</c:v>
                </c:pt>
                <c:pt idx="554">
                  <c:v>45324</c:v>
                </c:pt>
                <c:pt idx="555">
                  <c:v>45323</c:v>
                </c:pt>
                <c:pt idx="556">
                  <c:v>45322</c:v>
                </c:pt>
                <c:pt idx="557">
                  <c:v>45321</c:v>
                </c:pt>
                <c:pt idx="558">
                  <c:v>45320</c:v>
                </c:pt>
                <c:pt idx="559">
                  <c:v>45317</c:v>
                </c:pt>
                <c:pt idx="560">
                  <c:v>45316</c:v>
                </c:pt>
                <c:pt idx="561">
                  <c:v>45315</c:v>
                </c:pt>
                <c:pt idx="562">
                  <c:v>45314</c:v>
                </c:pt>
                <c:pt idx="563">
                  <c:v>45313</c:v>
                </c:pt>
                <c:pt idx="564">
                  <c:v>45310</c:v>
                </c:pt>
                <c:pt idx="565">
                  <c:v>45309</c:v>
                </c:pt>
                <c:pt idx="566">
                  <c:v>45308</c:v>
                </c:pt>
                <c:pt idx="567">
                  <c:v>45307</c:v>
                </c:pt>
                <c:pt idx="568">
                  <c:v>45303</c:v>
                </c:pt>
                <c:pt idx="569">
                  <c:v>45302</c:v>
                </c:pt>
                <c:pt idx="570">
                  <c:v>45301</c:v>
                </c:pt>
                <c:pt idx="571">
                  <c:v>45300</c:v>
                </c:pt>
                <c:pt idx="572">
                  <c:v>45299</c:v>
                </c:pt>
                <c:pt idx="573">
                  <c:v>45296</c:v>
                </c:pt>
                <c:pt idx="574">
                  <c:v>45295</c:v>
                </c:pt>
                <c:pt idx="575">
                  <c:v>45294</c:v>
                </c:pt>
                <c:pt idx="576">
                  <c:v>45293</c:v>
                </c:pt>
                <c:pt idx="577">
                  <c:v>45289</c:v>
                </c:pt>
                <c:pt idx="578">
                  <c:v>45288</c:v>
                </c:pt>
                <c:pt idx="579">
                  <c:v>45287</c:v>
                </c:pt>
                <c:pt idx="580">
                  <c:v>45286</c:v>
                </c:pt>
                <c:pt idx="581">
                  <c:v>45282</c:v>
                </c:pt>
                <c:pt idx="582">
                  <c:v>45281</c:v>
                </c:pt>
                <c:pt idx="583">
                  <c:v>45280</c:v>
                </c:pt>
                <c:pt idx="584">
                  <c:v>45279</c:v>
                </c:pt>
                <c:pt idx="585">
                  <c:v>45278</c:v>
                </c:pt>
                <c:pt idx="586">
                  <c:v>45275</c:v>
                </c:pt>
                <c:pt idx="587">
                  <c:v>45274</c:v>
                </c:pt>
                <c:pt idx="588">
                  <c:v>45273</c:v>
                </c:pt>
                <c:pt idx="589">
                  <c:v>45272</c:v>
                </c:pt>
                <c:pt idx="590">
                  <c:v>45272</c:v>
                </c:pt>
                <c:pt idx="591">
                  <c:v>45271</c:v>
                </c:pt>
                <c:pt idx="592">
                  <c:v>45268</c:v>
                </c:pt>
                <c:pt idx="593">
                  <c:v>45267</c:v>
                </c:pt>
                <c:pt idx="594">
                  <c:v>45266</c:v>
                </c:pt>
                <c:pt idx="595">
                  <c:v>45265</c:v>
                </c:pt>
                <c:pt idx="596">
                  <c:v>45264</c:v>
                </c:pt>
                <c:pt idx="597">
                  <c:v>45261</c:v>
                </c:pt>
                <c:pt idx="598">
                  <c:v>45260</c:v>
                </c:pt>
                <c:pt idx="599">
                  <c:v>45259</c:v>
                </c:pt>
                <c:pt idx="600">
                  <c:v>45258</c:v>
                </c:pt>
                <c:pt idx="601">
                  <c:v>45257</c:v>
                </c:pt>
                <c:pt idx="602">
                  <c:v>45254</c:v>
                </c:pt>
                <c:pt idx="603">
                  <c:v>45252</c:v>
                </c:pt>
                <c:pt idx="604">
                  <c:v>45251</c:v>
                </c:pt>
                <c:pt idx="605">
                  <c:v>45250</c:v>
                </c:pt>
                <c:pt idx="606">
                  <c:v>45247</c:v>
                </c:pt>
                <c:pt idx="607">
                  <c:v>45246</c:v>
                </c:pt>
                <c:pt idx="608">
                  <c:v>45245</c:v>
                </c:pt>
                <c:pt idx="609">
                  <c:v>45244</c:v>
                </c:pt>
                <c:pt idx="610">
                  <c:v>45243</c:v>
                </c:pt>
                <c:pt idx="611">
                  <c:v>45240</c:v>
                </c:pt>
                <c:pt idx="612">
                  <c:v>45239</c:v>
                </c:pt>
                <c:pt idx="613">
                  <c:v>45238</c:v>
                </c:pt>
                <c:pt idx="614">
                  <c:v>45237</c:v>
                </c:pt>
                <c:pt idx="615">
                  <c:v>45236</c:v>
                </c:pt>
                <c:pt idx="616">
                  <c:v>45233</c:v>
                </c:pt>
                <c:pt idx="617">
                  <c:v>45232</c:v>
                </c:pt>
                <c:pt idx="618">
                  <c:v>45231</c:v>
                </c:pt>
                <c:pt idx="619">
                  <c:v>45230</c:v>
                </c:pt>
                <c:pt idx="620">
                  <c:v>45229</c:v>
                </c:pt>
                <c:pt idx="621">
                  <c:v>45226</c:v>
                </c:pt>
                <c:pt idx="622">
                  <c:v>45225</c:v>
                </c:pt>
                <c:pt idx="623">
                  <c:v>45224</c:v>
                </c:pt>
                <c:pt idx="624">
                  <c:v>45223</c:v>
                </c:pt>
                <c:pt idx="625">
                  <c:v>45222</c:v>
                </c:pt>
                <c:pt idx="626">
                  <c:v>45219</c:v>
                </c:pt>
                <c:pt idx="627">
                  <c:v>45218</c:v>
                </c:pt>
                <c:pt idx="628">
                  <c:v>45217</c:v>
                </c:pt>
                <c:pt idx="629">
                  <c:v>45216</c:v>
                </c:pt>
                <c:pt idx="630">
                  <c:v>45215</c:v>
                </c:pt>
                <c:pt idx="631">
                  <c:v>45212</c:v>
                </c:pt>
                <c:pt idx="632">
                  <c:v>45211</c:v>
                </c:pt>
                <c:pt idx="633">
                  <c:v>45210</c:v>
                </c:pt>
                <c:pt idx="634">
                  <c:v>45209</c:v>
                </c:pt>
                <c:pt idx="635">
                  <c:v>45208</c:v>
                </c:pt>
                <c:pt idx="636">
                  <c:v>45205</c:v>
                </c:pt>
                <c:pt idx="637">
                  <c:v>45204</c:v>
                </c:pt>
                <c:pt idx="638">
                  <c:v>45203</c:v>
                </c:pt>
                <c:pt idx="639">
                  <c:v>45202</c:v>
                </c:pt>
                <c:pt idx="640">
                  <c:v>45201</c:v>
                </c:pt>
                <c:pt idx="641">
                  <c:v>45198</c:v>
                </c:pt>
                <c:pt idx="642">
                  <c:v>45197</c:v>
                </c:pt>
                <c:pt idx="643">
                  <c:v>45196</c:v>
                </c:pt>
                <c:pt idx="644">
                  <c:v>45195</c:v>
                </c:pt>
                <c:pt idx="645">
                  <c:v>45194</c:v>
                </c:pt>
                <c:pt idx="646">
                  <c:v>45191</c:v>
                </c:pt>
                <c:pt idx="647">
                  <c:v>45190</c:v>
                </c:pt>
                <c:pt idx="648">
                  <c:v>45189</c:v>
                </c:pt>
                <c:pt idx="649">
                  <c:v>45188</c:v>
                </c:pt>
                <c:pt idx="650">
                  <c:v>45187</c:v>
                </c:pt>
                <c:pt idx="651">
                  <c:v>45184</c:v>
                </c:pt>
                <c:pt idx="652">
                  <c:v>45183</c:v>
                </c:pt>
                <c:pt idx="653">
                  <c:v>45182</c:v>
                </c:pt>
                <c:pt idx="654">
                  <c:v>45181</c:v>
                </c:pt>
                <c:pt idx="655">
                  <c:v>45180</c:v>
                </c:pt>
                <c:pt idx="656">
                  <c:v>45177</c:v>
                </c:pt>
                <c:pt idx="657">
                  <c:v>45176</c:v>
                </c:pt>
                <c:pt idx="658">
                  <c:v>45176</c:v>
                </c:pt>
                <c:pt idx="659">
                  <c:v>45175</c:v>
                </c:pt>
                <c:pt idx="660">
                  <c:v>45174</c:v>
                </c:pt>
                <c:pt idx="661">
                  <c:v>45170</c:v>
                </c:pt>
                <c:pt idx="662">
                  <c:v>45169</c:v>
                </c:pt>
                <c:pt idx="663">
                  <c:v>45168</c:v>
                </c:pt>
                <c:pt idx="664">
                  <c:v>45167</c:v>
                </c:pt>
                <c:pt idx="665">
                  <c:v>45166</c:v>
                </c:pt>
                <c:pt idx="666">
                  <c:v>45163</c:v>
                </c:pt>
                <c:pt idx="667">
                  <c:v>45162</c:v>
                </c:pt>
                <c:pt idx="668">
                  <c:v>45161</c:v>
                </c:pt>
                <c:pt idx="669">
                  <c:v>45160</c:v>
                </c:pt>
                <c:pt idx="670">
                  <c:v>45159</c:v>
                </c:pt>
                <c:pt idx="671">
                  <c:v>45156</c:v>
                </c:pt>
                <c:pt idx="672">
                  <c:v>45155</c:v>
                </c:pt>
                <c:pt idx="673">
                  <c:v>45154</c:v>
                </c:pt>
                <c:pt idx="674">
                  <c:v>45153</c:v>
                </c:pt>
                <c:pt idx="675">
                  <c:v>45152</c:v>
                </c:pt>
                <c:pt idx="676">
                  <c:v>45149</c:v>
                </c:pt>
                <c:pt idx="677">
                  <c:v>45148</c:v>
                </c:pt>
                <c:pt idx="678">
                  <c:v>45147</c:v>
                </c:pt>
                <c:pt idx="679">
                  <c:v>45146</c:v>
                </c:pt>
                <c:pt idx="680">
                  <c:v>45145</c:v>
                </c:pt>
                <c:pt idx="681">
                  <c:v>45142</c:v>
                </c:pt>
                <c:pt idx="682">
                  <c:v>45141</c:v>
                </c:pt>
                <c:pt idx="683">
                  <c:v>45140</c:v>
                </c:pt>
                <c:pt idx="684">
                  <c:v>45139</c:v>
                </c:pt>
                <c:pt idx="685">
                  <c:v>45138</c:v>
                </c:pt>
                <c:pt idx="686">
                  <c:v>45135</c:v>
                </c:pt>
                <c:pt idx="687">
                  <c:v>45134</c:v>
                </c:pt>
                <c:pt idx="688">
                  <c:v>45133</c:v>
                </c:pt>
                <c:pt idx="689">
                  <c:v>45132</c:v>
                </c:pt>
                <c:pt idx="690">
                  <c:v>45131</c:v>
                </c:pt>
                <c:pt idx="691">
                  <c:v>45128</c:v>
                </c:pt>
                <c:pt idx="692">
                  <c:v>45127</c:v>
                </c:pt>
                <c:pt idx="693">
                  <c:v>45126</c:v>
                </c:pt>
                <c:pt idx="694">
                  <c:v>45125</c:v>
                </c:pt>
                <c:pt idx="695">
                  <c:v>45124</c:v>
                </c:pt>
                <c:pt idx="696">
                  <c:v>45121</c:v>
                </c:pt>
                <c:pt idx="697">
                  <c:v>45120</c:v>
                </c:pt>
                <c:pt idx="698">
                  <c:v>45119</c:v>
                </c:pt>
                <c:pt idx="699">
                  <c:v>45118</c:v>
                </c:pt>
                <c:pt idx="700">
                  <c:v>45117</c:v>
                </c:pt>
                <c:pt idx="701">
                  <c:v>45114</c:v>
                </c:pt>
                <c:pt idx="702">
                  <c:v>45113</c:v>
                </c:pt>
                <c:pt idx="703">
                  <c:v>45112</c:v>
                </c:pt>
                <c:pt idx="704">
                  <c:v>45110</c:v>
                </c:pt>
                <c:pt idx="705">
                  <c:v>45107</c:v>
                </c:pt>
                <c:pt idx="706">
                  <c:v>45106</c:v>
                </c:pt>
                <c:pt idx="707">
                  <c:v>45105</c:v>
                </c:pt>
                <c:pt idx="708">
                  <c:v>45104</c:v>
                </c:pt>
                <c:pt idx="709">
                  <c:v>45103</c:v>
                </c:pt>
                <c:pt idx="710">
                  <c:v>45100</c:v>
                </c:pt>
                <c:pt idx="711">
                  <c:v>45099</c:v>
                </c:pt>
                <c:pt idx="712">
                  <c:v>45098</c:v>
                </c:pt>
                <c:pt idx="713">
                  <c:v>45097</c:v>
                </c:pt>
                <c:pt idx="714">
                  <c:v>45093</c:v>
                </c:pt>
                <c:pt idx="715">
                  <c:v>45092</c:v>
                </c:pt>
                <c:pt idx="716">
                  <c:v>45092</c:v>
                </c:pt>
                <c:pt idx="717">
                  <c:v>45091</c:v>
                </c:pt>
                <c:pt idx="718">
                  <c:v>45090</c:v>
                </c:pt>
                <c:pt idx="719">
                  <c:v>45089</c:v>
                </c:pt>
                <c:pt idx="720">
                  <c:v>45086</c:v>
                </c:pt>
                <c:pt idx="721">
                  <c:v>45085</c:v>
                </c:pt>
                <c:pt idx="722">
                  <c:v>45084</c:v>
                </c:pt>
                <c:pt idx="723">
                  <c:v>45083</c:v>
                </c:pt>
                <c:pt idx="724">
                  <c:v>45082</c:v>
                </c:pt>
                <c:pt idx="725">
                  <c:v>45079</c:v>
                </c:pt>
                <c:pt idx="726">
                  <c:v>45078</c:v>
                </c:pt>
                <c:pt idx="727">
                  <c:v>45077</c:v>
                </c:pt>
                <c:pt idx="728">
                  <c:v>45076</c:v>
                </c:pt>
                <c:pt idx="729">
                  <c:v>45072</c:v>
                </c:pt>
                <c:pt idx="730">
                  <c:v>45071</c:v>
                </c:pt>
                <c:pt idx="731">
                  <c:v>45070</c:v>
                </c:pt>
                <c:pt idx="732">
                  <c:v>45069</c:v>
                </c:pt>
                <c:pt idx="733">
                  <c:v>45068</c:v>
                </c:pt>
                <c:pt idx="734">
                  <c:v>45065</c:v>
                </c:pt>
                <c:pt idx="735">
                  <c:v>45064</c:v>
                </c:pt>
                <c:pt idx="736">
                  <c:v>45063</c:v>
                </c:pt>
                <c:pt idx="737">
                  <c:v>45062</c:v>
                </c:pt>
                <c:pt idx="738">
                  <c:v>45061</c:v>
                </c:pt>
                <c:pt idx="739">
                  <c:v>45058</c:v>
                </c:pt>
                <c:pt idx="740">
                  <c:v>45057</c:v>
                </c:pt>
                <c:pt idx="741">
                  <c:v>45056</c:v>
                </c:pt>
                <c:pt idx="742">
                  <c:v>45055</c:v>
                </c:pt>
                <c:pt idx="743">
                  <c:v>45054</c:v>
                </c:pt>
                <c:pt idx="744">
                  <c:v>45051</c:v>
                </c:pt>
                <c:pt idx="745">
                  <c:v>45050</c:v>
                </c:pt>
                <c:pt idx="746">
                  <c:v>45049</c:v>
                </c:pt>
                <c:pt idx="747">
                  <c:v>45048</c:v>
                </c:pt>
                <c:pt idx="748">
                  <c:v>45047</c:v>
                </c:pt>
                <c:pt idx="749">
                  <c:v>45044</c:v>
                </c:pt>
                <c:pt idx="750">
                  <c:v>45043</c:v>
                </c:pt>
                <c:pt idx="751">
                  <c:v>45042</c:v>
                </c:pt>
                <c:pt idx="752">
                  <c:v>45041</c:v>
                </c:pt>
                <c:pt idx="753">
                  <c:v>45040</c:v>
                </c:pt>
                <c:pt idx="754">
                  <c:v>45037</c:v>
                </c:pt>
                <c:pt idx="755">
                  <c:v>45036</c:v>
                </c:pt>
                <c:pt idx="756">
                  <c:v>45035</c:v>
                </c:pt>
                <c:pt idx="757">
                  <c:v>45034</c:v>
                </c:pt>
                <c:pt idx="758">
                  <c:v>45033</c:v>
                </c:pt>
                <c:pt idx="759">
                  <c:v>45030</c:v>
                </c:pt>
                <c:pt idx="760">
                  <c:v>45029</c:v>
                </c:pt>
                <c:pt idx="761">
                  <c:v>45028</c:v>
                </c:pt>
                <c:pt idx="762">
                  <c:v>45027</c:v>
                </c:pt>
                <c:pt idx="763">
                  <c:v>45026</c:v>
                </c:pt>
                <c:pt idx="764">
                  <c:v>45022</c:v>
                </c:pt>
                <c:pt idx="765">
                  <c:v>45021</c:v>
                </c:pt>
                <c:pt idx="766">
                  <c:v>45020</c:v>
                </c:pt>
                <c:pt idx="767">
                  <c:v>45019</c:v>
                </c:pt>
                <c:pt idx="768">
                  <c:v>45016</c:v>
                </c:pt>
                <c:pt idx="769">
                  <c:v>45015</c:v>
                </c:pt>
                <c:pt idx="770">
                  <c:v>45014</c:v>
                </c:pt>
                <c:pt idx="771">
                  <c:v>45013</c:v>
                </c:pt>
                <c:pt idx="772">
                  <c:v>45012</c:v>
                </c:pt>
                <c:pt idx="773">
                  <c:v>45009</c:v>
                </c:pt>
                <c:pt idx="774">
                  <c:v>45008</c:v>
                </c:pt>
                <c:pt idx="775">
                  <c:v>45007</c:v>
                </c:pt>
                <c:pt idx="776">
                  <c:v>45006</c:v>
                </c:pt>
                <c:pt idx="777">
                  <c:v>45005</c:v>
                </c:pt>
                <c:pt idx="778">
                  <c:v>45002</c:v>
                </c:pt>
                <c:pt idx="779">
                  <c:v>45001</c:v>
                </c:pt>
                <c:pt idx="780">
                  <c:v>45001</c:v>
                </c:pt>
                <c:pt idx="781">
                  <c:v>45000</c:v>
                </c:pt>
                <c:pt idx="782">
                  <c:v>44999</c:v>
                </c:pt>
                <c:pt idx="783">
                  <c:v>44998</c:v>
                </c:pt>
                <c:pt idx="784">
                  <c:v>44995</c:v>
                </c:pt>
                <c:pt idx="785">
                  <c:v>44994</c:v>
                </c:pt>
                <c:pt idx="786">
                  <c:v>44993</c:v>
                </c:pt>
                <c:pt idx="787">
                  <c:v>44992</c:v>
                </c:pt>
                <c:pt idx="788">
                  <c:v>44991</c:v>
                </c:pt>
                <c:pt idx="789">
                  <c:v>44988</c:v>
                </c:pt>
                <c:pt idx="790">
                  <c:v>44987</c:v>
                </c:pt>
                <c:pt idx="791">
                  <c:v>44986</c:v>
                </c:pt>
                <c:pt idx="792">
                  <c:v>44985</c:v>
                </c:pt>
                <c:pt idx="793">
                  <c:v>44984</c:v>
                </c:pt>
                <c:pt idx="794">
                  <c:v>44981</c:v>
                </c:pt>
                <c:pt idx="795">
                  <c:v>44980</c:v>
                </c:pt>
                <c:pt idx="796">
                  <c:v>44979</c:v>
                </c:pt>
                <c:pt idx="797">
                  <c:v>44978</c:v>
                </c:pt>
                <c:pt idx="798">
                  <c:v>44974</c:v>
                </c:pt>
                <c:pt idx="799">
                  <c:v>44973</c:v>
                </c:pt>
                <c:pt idx="800">
                  <c:v>44972</c:v>
                </c:pt>
                <c:pt idx="801">
                  <c:v>44971</c:v>
                </c:pt>
                <c:pt idx="802">
                  <c:v>44970</c:v>
                </c:pt>
                <c:pt idx="803">
                  <c:v>44967</c:v>
                </c:pt>
                <c:pt idx="804">
                  <c:v>44966</c:v>
                </c:pt>
                <c:pt idx="805">
                  <c:v>44965</c:v>
                </c:pt>
                <c:pt idx="806">
                  <c:v>44964</c:v>
                </c:pt>
                <c:pt idx="807">
                  <c:v>44963</c:v>
                </c:pt>
                <c:pt idx="808">
                  <c:v>44960</c:v>
                </c:pt>
                <c:pt idx="809">
                  <c:v>44959</c:v>
                </c:pt>
                <c:pt idx="810">
                  <c:v>44958</c:v>
                </c:pt>
                <c:pt idx="811">
                  <c:v>44957</c:v>
                </c:pt>
                <c:pt idx="812">
                  <c:v>44956</c:v>
                </c:pt>
                <c:pt idx="813">
                  <c:v>44953</c:v>
                </c:pt>
                <c:pt idx="814">
                  <c:v>44952</c:v>
                </c:pt>
                <c:pt idx="815">
                  <c:v>44951</c:v>
                </c:pt>
                <c:pt idx="816">
                  <c:v>44950</c:v>
                </c:pt>
                <c:pt idx="817">
                  <c:v>44949</c:v>
                </c:pt>
                <c:pt idx="818">
                  <c:v>44946</c:v>
                </c:pt>
                <c:pt idx="819">
                  <c:v>44945</c:v>
                </c:pt>
                <c:pt idx="820">
                  <c:v>44944</c:v>
                </c:pt>
                <c:pt idx="821">
                  <c:v>44943</c:v>
                </c:pt>
                <c:pt idx="822">
                  <c:v>44939</c:v>
                </c:pt>
                <c:pt idx="823">
                  <c:v>44938</c:v>
                </c:pt>
                <c:pt idx="824">
                  <c:v>44937</c:v>
                </c:pt>
                <c:pt idx="825">
                  <c:v>44936</c:v>
                </c:pt>
                <c:pt idx="826">
                  <c:v>44935</c:v>
                </c:pt>
                <c:pt idx="827">
                  <c:v>44932</c:v>
                </c:pt>
                <c:pt idx="828">
                  <c:v>44931</c:v>
                </c:pt>
                <c:pt idx="829">
                  <c:v>44930</c:v>
                </c:pt>
                <c:pt idx="830">
                  <c:v>44929</c:v>
                </c:pt>
                <c:pt idx="831">
                  <c:v>44925</c:v>
                </c:pt>
                <c:pt idx="832">
                  <c:v>44924</c:v>
                </c:pt>
                <c:pt idx="833">
                  <c:v>44923</c:v>
                </c:pt>
                <c:pt idx="834">
                  <c:v>44922</c:v>
                </c:pt>
                <c:pt idx="835">
                  <c:v>44918</c:v>
                </c:pt>
                <c:pt idx="836">
                  <c:v>44917</c:v>
                </c:pt>
                <c:pt idx="837">
                  <c:v>44916</c:v>
                </c:pt>
                <c:pt idx="838">
                  <c:v>44915</c:v>
                </c:pt>
                <c:pt idx="839">
                  <c:v>44914</c:v>
                </c:pt>
                <c:pt idx="840">
                  <c:v>44911</c:v>
                </c:pt>
                <c:pt idx="841">
                  <c:v>44910</c:v>
                </c:pt>
                <c:pt idx="842">
                  <c:v>44909</c:v>
                </c:pt>
                <c:pt idx="843">
                  <c:v>44908</c:v>
                </c:pt>
                <c:pt idx="844">
                  <c:v>44907</c:v>
                </c:pt>
                <c:pt idx="845">
                  <c:v>44904</c:v>
                </c:pt>
                <c:pt idx="846">
                  <c:v>44903</c:v>
                </c:pt>
                <c:pt idx="847">
                  <c:v>44902</c:v>
                </c:pt>
                <c:pt idx="848">
                  <c:v>44901</c:v>
                </c:pt>
                <c:pt idx="849">
                  <c:v>44900</c:v>
                </c:pt>
                <c:pt idx="850">
                  <c:v>44897</c:v>
                </c:pt>
                <c:pt idx="851">
                  <c:v>44896</c:v>
                </c:pt>
                <c:pt idx="852">
                  <c:v>44895</c:v>
                </c:pt>
                <c:pt idx="853">
                  <c:v>44894</c:v>
                </c:pt>
                <c:pt idx="854">
                  <c:v>44894</c:v>
                </c:pt>
                <c:pt idx="855">
                  <c:v>44893</c:v>
                </c:pt>
                <c:pt idx="856">
                  <c:v>44890</c:v>
                </c:pt>
                <c:pt idx="857">
                  <c:v>44888</c:v>
                </c:pt>
                <c:pt idx="858">
                  <c:v>44887</c:v>
                </c:pt>
                <c:pt idx="859">
                  <c:v>44886</c:v>
                </c:pt>
                <c:pt idx="860">
                  <c:v>44883</c:v>
                </c:pt>
                <c:pt idx="861">
                  <c:v>44882</c:v>
                </c:pt>
                <c:pt idx="862">
                  <c:v>44881</c:v>
                </c:pt>
                <c:pt idx="863">
                  <c:v>44880</c:v>
                </c:pt>
                <c:pt idx="864">
                  <c:v>44879</c:v>
                </c:pt>
                <c:pt idx="865">
                  <c:v>44876</c:v>
                </c:pt>
                <c:pt idx="866">
                  <c:v>44875</c:v>
                </c:pt>
                <c:pt idx="867">
                  <c:v>44874</c:v>
                </c:pt>
                <c:pt idx="868">
                  <c:v>44873</c:v>
                </c:pt>
                <c:pt idx="869">
                  <c:v>44872</c:v>
                </c:pt>
                <c:pt idx="870">
                  <c:v>44869</c:v>
                </c:pt>
                <c:pt idx="871">
                  <c:v>44868</c:v>
                </c:pt>
                <c:pt idx="872">
                  <c:v>44867</c:v>
                </c:pt>
                <c:pt idx="873">
                  <c:v>44866</c:v>
                </c:pt>
                <c:pt idx="874">
                  <c:v>44865</c:v>
                </c:pt>
                <c:pt idx="875">
                  <c:v>44862</c:v>
                </c:pt>
                <c:pt idx="876">
                  <c:v>44861</c:v>
                </c:pt>
                <c:pt idx="877">
                  <c:v>44860</c:v>
                </c:pt>
                <c:pt idx="878">
                  <c:v>44859</c:v>
                </c:pt>
                <c:pt idx="879">
                  <c:v>44858</c:v>
                </c:pt>
                <c:pt idx="880">
                  <c:v>44855</c:v>
                </c:pt>
                <c:pt idx="881">
                  <c:v>44854</c:v>
                </c:pt>
                <c:pt idx="882">
                  <c:v>44853</c:v>
                </c:pt>
                <c:pt idx="883">
                  <c:v>44852</c:v>
                </c:pt>
                <c:pt idx="884">
                  <c:v>44851</c:v>
                </c:pt>
                <c:pt idx="885">
                  <c:v>44848</c:v>
                </c:pt>
                <c:pt idx="886">
                  <c:v>44847</c:v>
                </c:pt>
                <c:pt idx="887">
                  <c:v>44846</c:v>
                </c:pt>
                <c:pt idx="888">
                  <c:v>44845</c:v>
                </c:pt>
                <c:pt idx="889">
                  <c:v>44844</c:v>
                </c:pt>
                <c:pt idx="890">
                  <c:v>44841</c:v>
                </c:pt>
                <c:pt idx="891">
                  <c:v>44840</c:v>
                </c:pt>
                <c:pt idx="892">
                  <c:v>44839</c:v>
                </c:pt>
                <c:pt idx="893">
                  <c:v>44838</c:v>
                </c:pt>
                <c:pt idx="894">
                  <c:v>44837</c:v>
                </c:pt>
                <c:pt idx="895">
                  <c:v>44834</c:v>
                </c:pt>
                <c:pt idx="896">
                  <c:v>44833</c:v>
                </c:pt>
                <c:pt idx="897">
                  <c:v>44832</c:v>
                </c:pt>
                <c:pt idx="898">
                  <c:v>44831</c:v>
                </c:pt>
                <c:pt idx="899">
                  <c:v>44830</c:v>
                </c:pt>
                <c:pt idx="900">
                  <c:v>44827</c:v>
                </c:pt>
                <c:pt idx="901">
                  <c:v>44826</c:v>
                </c:pt>
                <c:pt idx="902">
                  <c:v>44825</c:v>
                </c:pt>
                <c:pt idx="903">
                  <c:v>44824</c:v>
                </c:pt>
                <c:pt idx="904">
                  <c:v>44823</c:v>
                </c:pt>
                <c:pt idx="905">
                  <c:v>44820</c:v>
                </c:pt>
                <c:pt idx="906">
                  <c:v>44819</c:v>
                </c:pt>
                <c:pt idx="907">
                  <c:v>44818</c:v>
                </c:pt>
                <c:pt idx="908">
                  <c:v>44817</c:v>
                </c:pt>
                <c:pt idx="909">
                  <c:v>44816</c:v>
                </c:pt>
                <c:pt idx="910">
                  <c:v>44813</c:v>
                </c:pt>
                <c:pt idx="911">
                  <c:v>44812</c:v>
                </c:pt>
                <c:pt idx="912">
                  <c:v>44812</c:v>
                </c:pt>
                <c:pt idx="913">
                  <c:v>44811</c:v>
                </c:pt>
                <c:pt idx="914">
                  <c:v>44810</c:v>
                </c:pt>
                <c:pt idx="915">
                  <c:v>44806</c:v>
                </c:pt>
                <c:pt idx="916">
                  <c:v>44805</c:v>
                </c:pt>
                <c:pt idx="917">
                  <c:v>44804</c:v>
                </c:pt>
                <c:pt idx="918">
                  <c:v>44803</c:v>
                </c:pt>
                <c:pt idx="919">
                  <c:v>44802</c:v>
                </c:pt>
                <c:pt idx="920">
                  <c:v>44799</c:v>
                </c:pt>
                <c:pt idx="921">
                  <c:v>44798</c:v>
                </c:pt>
                <c:pt idx="922">
                  <c:v>44797</c:v>
                </c:pt>
                <c:pt idx="923">
                  <c:v>44796</c:v>
                </c:pt>
                <c:pt idx="924">
                  <c:v>44795</c:v>
                </c:pt>
                <c:pt idx="925">
                  <c:v>44792</c:v>
                </c:pt>
                <c:pt idx="926">
                  <c:v>44791</c:v>
                </c:pt>
                <c:pt idx="927">
                  <c:v>44790</c:v>
                </c:pt>
                <c:pt idx="928">
                  <c:v>44789</c:v>
                </c:pt>
                <c:pt idx="929">
                  <c:v>44788</c:v>
                </c:pt>
                <c:pt idx="930">
                  <c:v>44785</c:v>
                </c:pt>
                <c:pt idx="931">
                  <c:v>44784</c:v>
                </c:pt>
                <c:pt idx="932">
                  <c:v>44783</c:v>
                </c:pt>
                <c:pt idx="933">
                  <c:v>44782</c:v>
                </c:pt>
                <c:pt idx="934">
                  <c:v>44781</c:v>
                </c:pt>
                <c:pt idx="935">
                  <c:v>44778</c:v>
                </c:pt>
                <c:pt idx="936">
                  <c:v>44777</c:v>
                </c:pt>
                <c:pt idx="937">
                  <c:v>44776</c:v>
                </c:pt>
                <c:pt idx="938">
                  <c:v>44775</c:v>
                </c:pt>
                <c:pt idx="939">
                  <c:v>44774</c:v>
                </c:pt>
                <c:pt idx="940">
                  <c:v>44771</c:v>
                </c:pt>
                <c:pt idx="941">
                  <c:v>44770</c:v>
                </c:pt>
                <c:pt idx="942">
                  <c:v>44769</c:v>
                </c:pt>
                <c:pt idx="943">
                  <c:v>44768</c:v>
                </c:pt>
                <c:pt idx="944">
                  <c:v>44767</c:v>
                </c:pt>
                <c:pt idx="945">
                  <c:v>44764</c:v>
                </c:pt>
                <c:pt idx="946">
                  <c:v>44763</c:v>
                </c:pt>
                <c:pt idx="947">
                  <c:v>44762</c:v>
                </c:pt>
                <c:pt idx="948">
                  <c:v>44761</c:v>
                </c:pt>
                <c:pt idx="949">
                  <c:v>44760</c:v>
                </c:pt>
                <c:pt idx="950">
                  <c:v>44757</c:v>
                </c:pt>
                <c:pt idx="951">
                  <c:v>44756</c:v>
                </c:pt>
                <c:pt idx="952">
                  <c:v>44755</c:v>
                </c:pt>
                <c:pt idx="953">
                  <c:v>44754</c:v>
                </c:pt>
                <c:pt idx="954">
                  <c:v>44753</c:v>
                </c:pt>
                <c:pt idx="955">
                  <c:v>44750</c:v>
                </c:pt>
                <c:pt idx="956">
                  <c:v>44749</c:v>
                </c:pt>
                <c:pt idx="957">
                  <c:v>44748</c:v>
                </c:pt>
                <c:pt idx="958">
                  <c:v>44747</c:v>
                </c:pt>
                <c:pt idx="959">
                  <c:v>44743</c:v>
                </c:pt>
                <c:pt idx="960">
                  <c:v>44742</c:v>
                </c:pt>
                <c:pt idx="961">
                  <c:v>44741</c:v>
                </c:pt>
                <c:pt idx="962">
                  <c:v>44740</c:v>
                </c:pt>
                <c:pt idx="963">
                  <c:v>44739</c:v>
                </c:pt>
                <c:pt idx="964">
                  <c:v>44736</c:v>
                </c:pt>
                <c:pt idx="965">
                  <c:v>44735</c:v>
                </c:pt>
                <c:pt idx="966">
                  <c:v>44734</c:v>
                </c:pt>
                <c:pt idx="967">
                  <c:v>44733</c:v>
                </c:pt>
                <c:pt idx="968">
                  <c:v>44729</c:v>
                </c:pt>
                <c:pt idx="969">
                  <c:v>44728</c:v>
                </c:pt>
                <c:pt idx="970">
                  <c:v>44728</c:v>
                </c:pt>
                <c:pt idx="971">
                  <c:v>44727</c:v>
                </c:pt>
                <c:pt idx="972">
                  <c:v>44726</c:v>
                </c:pt>
                <c:pt idx="973">
                  <c:v>44725</c:v>
                </c:pt>
                <c:pt idx="974">
                  <c:v>44722</c:v>
                </c:pt>
                <c:pt idx="975">
                  <c:v>44721</c:v>
                </c:pt>
                <c:pt idx="976">
                  <c:v>44720</c:v>
                </c:pt>
                <c:pt idx="977">
                  <c:v>44719</c:v>
                </c:pt>
                <c:pt idx="978">
                  <c:v>44718</c:v>
                </c:pt>
                <c:pt idx="979">
                  <c:v>44715</c:v>
                </c:pt>
                <c:pt idx="980">
                  <c:v>44714</c:v>
                </c:pt>
                <c:pt idx="981">
                  <c:v>44713</c:v>
                </c:pt>
                <c:pt idx="982">
                  <c:v>44712</c:v>
                </c:pt>
                <c:pt idx="983">
                  <c:v>44708</c:v>
                </c:pt>
                <c:pt idx="984">
                  <c:v>44707</c:v>
                </c:pt>
                <c:pt idx="985">
                  <c:v>44706</c:v>
                </c:pt>
                <c:pt idx="986">
                  <c:v>44705</c:v>
                </c:pt>
                <c:pt idx="987">
                  <c:v>44704</c:v>
                </c:pt>
                <c:pt idx="988">
                  <c:v>44701</c:v>
                </c:pt>
                <c:pt idx="989">
                  <c:v>44700</c:v>
                </c:pt>
                <c:pt idx="990">
                  <c:v>44699</c:v>
                </c:pt>
                <c:pt idx="991">
                  <c:v>44698</c:v>
                </c:pt>
                <c:pt idx="992">
                  <c:v>44697</c:v>
                </c:pt>
                <c:pt idx="993">
                  <c:v>44694</c:v>
                </c:pt>
                <c:pt idx="994">
                  <c:v>44693</c:v>
                </c:pt>
                <c:pt idx="995">
                  <c:v>44692</c:v>
                </c:pt>
                <c:pt idx="996">
                  <c:v>44691</c:v>
                </c:pt>
                <c:pt idx="997">
                  <c:v>44690</c:v>
                </c:pt>
                <c:pt idx="998">
                  <c:v>44687</c:v>
                </c:pt>
                <c:pt idx="999">
                  <c:v>44686</c:v>
                </c:pt>
                <c:pt idx="1000">
                  <c:v>44685</c:v>
                </c:pt>
                <c:pt idx="1001">
                  <c:v>44684</c:v>
                </c:pt>
                <c:pt idx="1002">
                  <c:v>44683</c:v>
                </c:pt>
                <c:pt idx="1003">
                  <c:v>44680</c:v>
                </c:pt>
                <c:pt idx="1004">
                  <c:v>44679</c:v>
                </c:pt>
                <c:pt idx="1005">
                  <c:v>44678</c:v>
                </c:pt>
                <c:pt idx="1006">
                  <c:v>44677</c:v>
                </c:pt>
                <c:pt idx="1007">
                  <c:v>44676</c:v>
                </c:pt>
                <c:pt idx="1008">
                  <c:v>44673</c:v>
                </c:pt>
                <c:pt idx="1009">
                  <c:v>44672</c:v>
                </c:pt>
                <c:pt idx="1010">
                  <c:v>44671</c:v>
                </c:pt>
                <c:pt idx="1011">
                  <c:v>44670</c:v>
                </c:pt>
                <c:pt idx="1012">
                  <c:v>44669</c:v>
                </c:pt>
                <c:pt idx="1013">
                  <c:v>44665</c:v>
                </c:pt>
                <c:pt idx="1014">
                  <c:v>44664</c:v>
                </c:pt>
                <c:pt idx="1015">
                  <c:v>44663</c:v>
                </c:pt>
                <c:pt idx="1016">
                  <c:v>44662</c:v>
                </c:pt>
                <c:pt idx="1017">
                  <c:v>44659</c:v>
                </c:pt>
              </c:numCache>
            </c:numRef>
          </c:cat>
          <c:val>
            <c:numRef>
              <c:f>'Share Prices'!$B$2:$B$1019</c:f>
              <c:numCache>
                <c:formatCode>General</c:formatCode>
                <c:ptCount val="1018"/>
                <c:pt idx="0">
                  <c:v>20.52</c:v>
                </c:pt>
                <c:pt idx="1">
                  <c:v>18.98</c:v>
                </c:pt>
                <c:pt idx="2">
                  <c:v>18.760000000000002</c:v>
                </c:pt>
                <c:pt idx="3">
                  <c:v>18.579999999999998</c:v>
                </c:pt>
                <c:pt idx="4">
                  <c:v>18.41</c:v>
                </c:pt>
                <c:pt idx="5">
                  <c:v>18</c:v>
                </c:pt>
                <c:pt idx="6">
                  <c:v>16.559999999999999</c:v>
                </c:pt>
                <c:pt idx="7">
                  <c:v>17.02</c:v>
                </c:pt>
                <c:pt idx="8">
                  <c:v>17.47</c:v>
                </c:pt>
                <c:pt idx="9">
                  <c:v>18.29</c:v>
                </c:pt>
                <c:pt idx="10">
                  <c:v>18.260000000000002</c:v>
                </c:pt>
                <c:pt idx="11">
                  <c:v>17.46</c:v>
                </c:pt>
                <c:pt idx="12">
                  <c:v>16.649999999999999</c:v>
                </c:pt>
                <c:pt idx="13">
                  <c:v>17.73</c:v>
                </c:pt>
                <c:pt idx="14">
                  <c:v>17.489999999999998</c:v>
                </c:pt>
                <c:pt idx="15">
                  <c:v>17.68</c:v>
                </c:pt>
                <c:pt idx="16">
                  <c:v>17.38</c:v>
                </c:pt>
                <c:pt idx="17">
                  <c:v>17.23</c:v>
                </c:pt>
                <c:pt idx="19">
                  <c:v>17.149999999999999</c:v>
                </c:pt>
                <c:pt idx="20">
                  <c:v>17.5</c:v>
                </c:pt>
                <c:pt idx="21">
                  <c:v>17.309999999999999</c:v>
                </c:pt>
                <c:pt idx="22">
                  <c:v>16.79</c:v>
                </c:pt>
                <c:pt idx="23">
                  <c:v>16.690000000000001</c:v>
                </c:pt>
                <c:pt idx="24">
                  <c:v>17.13</c:v>
                </c:pt>
                <c:pt idx="25">
                  <c:v>17.78</c:v>
                </c:pt>
                <c:pt idx="26">
                  <c:v>17.95</c:v>
                </c:pt>
                <c:pt idx="27">
                  <c:v>19.149999999999999</c:v>
                </c:pt>
                <c:pt idx="28">
                  <c:v>18.72</c:v>
                </c:pt>
                <c:pt idx="29">
                  <c:v>19.45</c:v>
                </c:pt>
                <c:pt idx="30">
                  <c:v>20.11</c:v>
                </c:pt>
                <c:pt idx="31">
                  <c:v>19.61</c:v>
                </c:pt>
                <c:pt idx="32">
                  <c:v>19.32</c:v>
                </c:pt>
                <c:pt idx="33">
                  <c:v>19.670000000000002</c:v>
                </c:pt>
                <c:pt idx="34">
                  <c:v>19.71</c:v>
                </c:pt>
                <c:pt idx="35">
                  <c:v>19.399999999999999</c:v>
                </c:pt>
                <c:pt idx="36">
                  <c:v>18.690000000000001</c:v>
                </c:pt>
                <c:pt idx="37">
                  <c:v>18.88</c:v>
                </c:pt>
                <c:pt idx="38">
                  <c:v>19.38</c:v>
                </c:pt>
                <c:pt idx="39">
                  <c:v>20.190000000000001</c:v>
                </c:pt>
                <c:pt idx="40">
                  <c:v>19.36</c:v>
                </c:pt>
                <c:pt idx="41">
                  <c:v>19.48</c:v>
                </c:pt>
                <c:pt idx="42">
                  <c:v>19.95</c:v>
                </c:pt>
                <c:pt idx="43">
                  <c:v>19.649999999999999</c:v>
                </c:pt>
                <c:pt idx="44">
                  <c:v>19.86</c:v>
                </c:pt>
                <c:pt idx="45">
                  <c:v>20.74</c:v>
                </c:pt>
                <c:pt idx="46">
                  <c:v>20.67</c:v>
                </c:pt>
                <c:pt idx="47">
                  <c:v>20.149999999999999</c:v>
                </c:pt>
                <c:pt idx="48">
                  <c:v>20.170000000000002</c:v>
                </c:pt>
                <c:pt idx="49">
                  <c:v>19.27</c:v>
                </c:pt>
                <c:pt idx="50">
                  <c:v>18.48</c:v>
                </c:pt>
                <c:pt idx="51">
                  <c:v>18.03</c:v>
                </c:pt>
                <c:pt idx="52">
                  <c:v>18.45</c:v>
                </c:pt>
                <c:pt idx="53">
                  <c:v>19.079999999999998</c:v>
                </c:pt>
                <c:pt idx="54">
                  <c:v>19.05</c:v>
                </c:pt>
                <c:pt idx="55">
                  <c:v>17.86</c:v>
                </c:pt>
                <c:pt idx="56">
                  <c:v>18.29</c:v>
                </c:pt>
                <c:pt idx="57">
                  <c:v>17.87</c:v>
                </c:pt>
                <c:pt idx="58">
                  <c:v>17.05</c:v>
                </c:pt>
                <c:pt idx="59">
                  <c:v>16</c:v>
                </c:pt>
                <c:pt idx="60">
                  <c:v>16.079999999999998</c:v>
                </c:pt>
                <c:pt idx="61">
                  <c:v>16.190000000000001</c:v>
                </c:pt>
                <c:pt idx="62">
                  <c:v>16.079999999999998</c:v>
                </c:pt>
                <c:pt idx="63">
                  <c:v>16.2</c:v>
                </c:pt>
                <c:pt idx="64">
                  <c:v>16.559999999999999</c:v>
                </c:pt>
                <c:pt idx="65">
                  <c:v>15.42</c:v>
                </c:pt>
                <c:pt idx="66">
                  <c:v>15.29</c:v>
                </c:pt>
                <c:pt idx="67">
                  <c:v>14.49</c:v>
                </c:pt>
                <c:pt idx="68">
                  <c:v>14.78</c:v>
                </c:pt>
                <c:pt idx="69">
                  <c:v>14.9</c:v>
                </c:pt>
                <c:pt idx="70">
                  <c:v>15.01</c:v>
                </c:pt>
                <c:pt idx="71">
                  <c:v>15.02</c:v>
                </c:pt>
                <c:pt idx="72">
                  <c:v>14.96</c:v>
                </c:pt>
                <c:pt idx="73">
                  <c:v>14.93</c:v>
                </c:pt>
                <c:pt idx="74">
                  <c:v>14.87</c:v>
                </c:pt>
                <c:pt idx="75">
                  <c:v>14.82</c:v>
                </c:pt>
                <c:pt idx="76">
                  <c:v>14.57</c:v>
                </c:pt>
                <c:pt idx="77">
                  <c:v>14.88</c:v>
                </c:pt>
                <c:pt idx="78">
                  <c:v>15.15</c:v>
                </c:pt>
                <c:pt idx="79">
                  <c:v>15.33</c:v>
                </c:pt>
                <c:pt idx="80">
                  <c:v>15.84</c:v>
                </c:pt>
                <c:pt idx="81">
                  <c:v>15.8</c:v>
                </c:pt>
                <c:pt idx="82">
                  <c:v>15.35</c:v>
                </c:pt>
                <c:pt idx="83">
                  <c:v>15.28</c:v>
                </c:pt>
                <c:pt idx="84">
                  <c:v>15.2</c:v>
                </c:pt>
                <c:pt idx="85">
                  <c:v>15.15</c:v>
                </c:pt>
                <c:pt idx="87">
                  <c:v>14.95</c:v>
                </c:pt>
                <c:pt idx="88">
                  <c:v>14.05</c:v>
                </c:pt>
                <c:pt idx="89">
                  <c:v>13.75</c:v>
                </c:pt>
                <c:pt idx="90">
                  <c:v>13.67</c:v>
                </c:pt>
                <c:pt idx="91">
                  <c:v>13.48</c:v>
                </c:pt>
                <c:pt idx="92">
                  <c:v>13.3</c:v>
                </c:pt>
                <c:pt idx="93">
                  <c:v>12.85</c:v>
                </c:pt>
                <c:pt idx="94">
                  <c:v>12.51</c:v>
                </c:pt>
                <c:pt idx="95">
                  <c:v>11.82</c:v>
                </c:pt>
                <c:pt idx="96">
                  <c:v>12.3</c:v>
                </c:pt>
                <c:pt idx="97">
                  <c:v>12.42</c:v>
                </c:pt>
                <c:pt idx="98">
                  <c:v>12.65</c:v>
                </c:pt>
                <c:pt idx="99">
                  <c:v>13.24</c:v>
                </c:pt>
                <c:pt idx="100">
                  <c:v>13.62</c:v>
                </c:pt>
                <c:pt idx="101">
                  <c:v>14.19</c:v>
                </c:pt>
                <c:pt idx="102">
                  <c:v>14.23</c:v>
                </c:pt>
                <c:pt idx="103">
                  <c:v>14.68</c:v>
                </c:pt>
                <c:pt idx="104">
                  <c:v>14.37</c:v>
                </c:pt>
                <c:pt idx="105">
                  <c:v>14.58</c:v>
                </c:pt>
                <c:pt idx="106">
                  <c:v>15.32</c:v>
                </c:pt>
                <c:pt idx="107">
                  <c:v>16.100000000000001</c:v>
                </c:pt>
                <c:pt idx="108">
                  <c:v>16.78</c:v>
                </c:pt>
                <c:pt idx="109">
                  <c:v>16.98</c:v>
                </c:pt>
                <c:pt idx="110">
                  <c:v>16.88</c:v>
                </c:pt>
                <c:pt idx="111">
                  <c:v>17.28</c:v>
                </c:pt>
                <c:pt idx="112">
                  <c:v>17.489999999999998</c:v>
                </c:pt>
                <c:pt idx="113">
                  <c:v>17.34</c:v>
                </c:pt>
                <c:pt idx="114">
                  <c:v>16.84</c:v>
                </c:pt>
                <c:pt idx="115">
                  <c:v>16.93</c:v>
                </c:pt>
                <c:pt idx="116">
                  <c:v>16.63</c:v>
                </c:pt>
                <c:pt idx="117">
                  <c:v>17.22</c:v>
                </c:pt>
                <c:pt idx="118">
                  <c:v>17.5</c:v>
                </c:pt>
                <c:pt idx="119">
                  <c:v>16.489999999999998</c:v>
                </c:pt>
                <c:pt idx="120">
                  <c:v>16.920000000000002</c:v>
                </c:pt>
                <c:pt idx="121">
                  <c:v>16.97</c:v>
                </c:pt>
                <c:pt idx="122">
                  <c:v>16.04</c:v>
                </c:pt>
                <c:pt idx="123">
                  <c:v>15.88</c:v>
                </c:pt>
                <c:pt idx="124">
                  <c:v>14.66</c:v>
                </c:pt>
                <c:pt idx="125">
                  <c:v>15.89</c:v>
                </c:pt>
                <c:pt idx="126">
                  <c:v>16.059999999999999</c:v>
                </c:pt>
                <c:pt idx="127">
                  <c:v>15.37</c:v>
                </c:pt>
                <c:pt idx="128">
                  <c:v>16.079999999999998</c:v>
                </c:pt>
                <c:pt idx="129">
                  <c:v>16.149999999999999</c:v>
                </c:pt>
                <c:pt idx="130">
                  <c:v>15.82</c:v>
                </c:pt>
                <c:pt idx="131">
                  <c:v>15.42</c:v>
                </c:pt>
                <c:pt idx="132">
                  <c:v>15.3</c:v>
                </c:pt>
                <c:pt idx="133">
                  <c:v>15.16</c:v>
                </c:pt>
                <c:pt idx="134">
                  <c:v>15.03</c:v>
                </c:pt>
                <c:pt idx="135">
                  <c:v>14.9</c:v>
                </c:pt>
                <c:pt idx="136">
                  <c:v>15.23</c:v>
                </c:pt>
                <c:pt idx="137">
                  <c:v>15.21</c:v>
                </c:pt>
                <c:pt idx="138">
                  <c:v>15.36</c:v>
                </c:pt>
                <c:pt idx="139">
                  <c:v>15.36</c:v>
                </c:pt>
                <c:pt idx="140">
                  <c:v>15.81</c:v>
                </c:pt>
                <c:pt idx="141">
                  <c:v>15.18</c:v>
                </c:pt>
                <c:pt idx="142">
                  <c:v>15.2</c:v>
                </c:pt>
                <c:pt idx="143">
                  <c:v>15.11</c:v>
                </c:pt>
                <c:pt idx="144">
                  <c:v>15.25</c:v>
                </c:pt>
                <c:pt idx="146">
                  <c:v>15.5</c:v>
                </c:pt>
                <c:pt idx="147">
                  <c:v>15.29</c:v>
                </c:pt>
                <c:pt idx="148">
                  <c:v>15.25</c:v>
                </c:pt>
                <c:pt idx="149">
                  <c:v>15.38</c:v>
                </c:pt>
                <c:pt idx="150">
                  <c:v>15.56</c:v>
                </c:pt>
                <c:pt idx="151">
                  <c:v>15.32</c:v>
                </c:pt>
                <c:pt idx="152">
                  <c:v>14.97</c:v>
                </c:pt>
                <c:pt idx="153">
                  <c:v>14.85</c:v>
                </c:pt>
                <c:pt idx="154">
                  <c:v>15.46</c:v>
                </c:pt>
                <c:pt idx="155">
                  <c:v>15.69</c:v>
                </c:pt>
                <c:pt idx="156">
                  <c:v>15.54</c:v>
                </c:pt>
                <c:pt idx="157">
                  <c:v>15.43</c:v>
                </c:pt>
                <c:pt idx="158">
                  <c:v>15.3</c:v>
                </c:pt>
                <c:pt idx="159">
                  <c:v>15.58</c:v>
                </c:pt>
                <c:pt idx="160">
                  <c:v>14.54</c:v>
                </c:pt>
                <c:pt idx="161">
                  <c:v>14.77</c:v>
                </c:pt>
                <c:pt idx="162">
                  <c:v>14.79</c:v>
                </c:pt>
                <c:pt idx="163">
                  <c:v>14.76</c:v>
                </c:pt>
                <c:pt idx="164">
                  <c:v>14.84</c:v>
                </c:pt>
                <c:pt idx="165">
                  <c:v>15.32</c:v>
                </c:pt>
                <c:pt idx="166">
                  <c:v>15.46</c:v>
                </c:pt>
                <c:pt idx="167">
                  <c:v>14.77</c:v>
                </c:pt>
                <c:pt idx="168">
                  <c:v>13.97</c:v>
                </c:pt>
                <c:pt idx="169">
                  <c:v>14.59</c:v>
                </c:pt>
                <c:pt idx="170">
                  <c:v>14.3</c:v>
                </c:pt>
                <c:pt idx="171">
                  <c:v>13.76</c:v>
                </c:pt>
                <c:pt idx="172">
                  <c:v>16.010000000000002</c:v>
                </c:pt>
                <c:pt idx="173">
                  <c:v>16.18</c:v>
                </c:pt>
                <c:pt idx="174">
                  <c:v>15.98</c:v>
                </c:pt>
                <c:pt idx="175">
                  <c:v>16.39</c:v>
                </c:pt>
                <c:pt idx="176">
                  <c:v>16.88</c:v>
                </c:pt>
                <c:pt idx="177">
                  <c:v>17.22</c:v>
                </c:pt>
                <c:pt idx="178">
                  <c:v>17.059999999999999</c:v>
                </c:pt>
                <c:pt idx="179">
                  <c:v>17</c:v>
                </c:pt>
                <c:pt idx="180">
                  <c:v>16.93</c:v>
                </c:pt>
                <c:pt idx="181">
                  <c:v>17.62</c:v>
                </c:pt>
                <c:pt idx="182">
                  <c:v>17.52</c:v>
                </c:pt>
                <c:pt idx="183">
                  <c:v>17.45</c:v>
                </c:pt>
                <c:pt idx="184">
                  <c:v>17.239999999999998</c:v>
                </c:pt>
                <c:pt idx="185">
                  <c:v>17.28</c:v>
                </c:pt>
                <c:pt idx="186">
                  <c:v>17.010000000000002</c:v>
                </c:pt>
                <c:pt idx="187">
                  <c:v>16.989999999999998</c:v>
                </c:pt>
                <c:pt idx="188">
                  <c:v>17.47</c:v>
                </c:pt>
                <c:pt idx="189">
                  <c:v>17.850000000000001</c:v>
                </c:pt>
                <c:pt idx="190">
                  <c:v>17.88</c:v>
                </c:pt>
                <c:pt idx="191">
                  <c:v>17.61</c:v>
                </c:pt>
                <c:pt idx="192">
                  <c:v>17.350000000000001</c:v>
                </c:pt>
                <c:pt idx="193">
                  <c:v>16.64</c:v>
                </c:pt>
                <c:pt idx="194">
                  <c:v>17.21</c:v>
                </c:pt>
                <c:pt idx="195">
                  <c:v>17.02</c:v>
                </c:pt>
                <c:pt idx="196">
                  <c:v>16.05</c:v>
                </c:pt>
                <c:pt idx="197">
                  <c:v>15.88</c:v>
                </c:pt>
                <c:pt idx="198">
                  <c:v>15.96</c:v>
                </c:pt>
                <c:pt idx="199">
                  <c:v>15.69</c:v>
                </c:pt>
                <c:pt idx="200">
                  <c:v>15.56</c:v>
                </c:pt>
                <c:pt idx="201">
                  <c:v>15.51</c:v>
                </c:pt>
                <c:pt idx="202">
                  <c:v>15.39</c:v>
                </c:pt>
                <c:pt idx="203">
                  <c:v>15.24</c:v>
                </c:pt>
                <c:pt idx="205">
                  <c:v>15.45</c:v>
                </c:pt>
                <c:pt idx="206">
                  <c:v>15.33</c:v>
                </c:pt>
                <c:pt idx="207">
                  <c:v>15.73</c:v>
                </c:pt>
                <c:pt idx="208">
                  <c:v>15.17</c:v>
                </c:pt>
                <c:pt idx="209">
                  <c:v>15.95</c:v>
                </c:pt>
                <c:pt idx="210">
                  <c:v>15.9</c:v>
                </c:pt>
                <c:pt idx="211">
                  <c:v>15.97</c:v>
                </c:pt>
                <c:pt idx="212">
                  <c:v>15.6</c:v>
                </c:pt>
                <c:pt idx="213">
                  <c:v>15.16</c:v>
                </c:pt>
                <c:pt idx="214">
                  <c:v>14.72</c:v>
                </c:pt>
                <c:pt idx="215">
                  <c:v>14.83</c:v>
                </c:pt>
                <c:pt idx="216">
                  <c:v>14.78</c:v>
                </c:pt>
                <c:pt idx="217">
                  <c:v>13.94</c:v>
                </c:pt>
                <c:pt idx="218">
                  <c:v>14.07</c:v>
                </c:pt>
                <c:pt idx="219">
                  <c:v>14.29</c:v>
                </c:pt>
                <c:pt idx="220">
                  <c:v>14.14</c:v>
                </c:pt>
                <c:pt idx="221">
                  <c:v>14.47</c:v>
                </c:pt>
                <c:pt idx="222">
                  <c:v>13.91</c:v>
                </c:pt>
                <c:pt idx="223">
                  <c:v>14.21</c:v>
                </c:pt>
                <c:pt idx="224">
                  <c:v>14.28</c:v>
                </c:pt>
                <c:pt idx="225">
                  <c:v>14.88</c:v>
                </c:pt>
                <c:pt idx="226">
                  <c:v>15.01</c:v>
                </c:pt>
                <c:pt idx="227">
                  <c:v>15.27</c:v>
                </c:pt>
                <c:pt idx="228">
                  <c:v>15.09</c:v>
                </c:pt>
                <c:pt idx="229">
                  <c:v>15.13</c:v>
                </c:pt>
                <c:pt idx="230">
                  <c:v>14.84</c:v>
                </c:pt>
                <c:pt idx="231">
                  <c:v>14.74</c:v>
                </c:pt>
                <c:pt idx="232">
                  <c:v>13.14</c:v>
                </c:pt>
                <c:pt idx="233">
                  <c:v>12.86</c:v>
                </c:pt>
                <c:pt idx="234">
                  <c:v>12.13</c:v>
                </c:pt>
                <c:pt idx="235">
                  <c:v>13.44</c:v>
                </c:pt>
                <c:pt idx="236">
                  <c:v>13.67</c:v>
                </c:pt>
                <c:pt idx="237">
                  <c:v>13.72</c:v>
                </c:pt>
                <c:pt idx="238">
                  <c:v>13.25</c:v>
                </c:pt>
                <c:pt idx="239">
                  <c:v>12.99</c:v>
                </c:pt>
                <c:pt idx="240">
                  <c:v>13.09</c:v>
                </c:pt>
                <c:pt idx="241">
                  <c:v>13.17</c:v>
                </c:pt>
                <c:pt idx="242">
                  <c:v>12.9</c:v>
                </c:pt>
                <c:pt idx="243">
                  <c:v>12.94</c:v>
                </c:pt>
                <c:pt idx="244">
                  <c:v>11.74</c:v>
                </c:pt>
                <c:pt idx="245">
                  <c:v>11.18</c:v>
                </c:pt>
                <c:pt idx="246">
                  <c:v>11.07</c:v>
                </c:pt>
                <c:pt idx="247">
                  <c:v>11.24</c:v>
                </c:pt>
                <c:pt idx="248">
                  <c:v>10.9</c:v>
                </c:pt>
                <c:pt idx="249">
                  <c:v>11.36</c:v>
                </c:pt>
                <c:pt idx="250">
                  <c:v>11.37</c:v>
                </c:pt>
                <c:pt idx="251">
                  <c:v>11.16</c:v>
                </c:pt>
                <c:pt idx="252">
                  <c:v>11.45</c:v>
                </c:pt>
                <c:pt idx="253">
                  <c:v>12.92</c:v>
                </c:pt>
                <c:pt idx="254">
                  <c:v>10.57</c:v>
                </c:pt>
                <c:pt idx="255">
                  <c:v>11.62</c:v>
                </c:pt>
                <c:pt idx="256">
                  <c:v>11.88</c:v>
                </c:pt>
                <c:pt idx="257">
                  <c:v>12.45</c:v>
                </c:pt>
                <c:pt idx="258">
                  <c:v>15.93</c:v>
                </c:pt>
                <c:pt idx="259">
                  <c:v>15.63</c:v>
                </c:pt>
                <c:pt idx="260">
                  <c:v>15.9</c:v>
                </c:pt>
                <c:pt idx="261">
                  <c:v>16.18</c:v>
                </c:pt>
                <c:pt idx="262">
                  <c:v>16.63</c:v>
                </c:pt>
                <c:pt idx="263">
                  <c:v>16.8</c:v>
                </c:pt>
                <c:pt idx="264">
                  <c:v>16.96</c:v>
                </c:pt>
                <c:pt idx="265">
                  <c:v>17.329999999999998</c:v>
                </c:pt>
                <c:pt idx="266">
                  <c:v>16.86</c:v>
                </c:pt>
                <c:pt idx="267">
                  <c:v>17.21</c:v>
                </c:pt>
                <c:pt idx="268">
                  <c:v>17.329999999999998</c:v>
                </c:pt>
                <c:pt idx="269">
                  <c:v>17.04</c:v>
                </c:pt>
                <c:pt idx="270">
                  <c:v>17.100000000000001</c:v>
                </c:pt>
                <c:pt idx="271">
                  <c:v>16.87</c:v>
                </c:pt>
                <c:pt idx="273">
                  <c:v>16.68</c:v>
                </c:pt>
                <c:pt idx="274">
                  <c:v>16.63</c:v>
                </c:pt>
                <c:pt idx="275">
                  <c:v>17.04</c:v>
                </c:pt>
                <c:pt idx="276">
                  <c:v>17.63</c:v>
                </c:pt>
                <c:pt idx="277">
                  <c:v>17.78</c:v>
                </c:pt>
                <c:pt idx="278">
                  <c:v>17.62</c:v>
                </c:pt>
                <c:pt idx="279">
                  <c:v>17.41</c:v>
                </c:pt>
                <c:pt idx="280">
                  <c:v>16.940000000000001</c:v>
                </c:pt>
                <c:pt idx="281">
                  <c:v>16.62</c:v>
                </c:pt>
                <c:pt idx="282">
                  <c:v>17.14</c:v>
                </c:pt>
                <c:pt idx="283">
                  <c:v>16.78</c:v>
                </c:pt>
                <c:pt idx="284">
                  <c:v>17.97</c:v>
                </c:pt>
                <c:pt idx="285">
                  <c:v>18</c:v>
                </c:pt>
                <c:pt idx="286">
                  <c:v>18.350000000000001</c:v>
                </c:pt>
                <c:pt idx="287">
                  <c:v>18.63</c:v>
                </c:pt>
                <c:pt idx="288">
                  <c:v>19.079999999999998</c:v>
                </c:pt>
                <c:pt idx="289">
                  <c:v>19.100000000000001</c:v>
                </c:pt>
                <c:pt idx="290">
                  <c:v>18.600000000000001</c:v>
                </c:pt>
                <c:pt idx="291">
                  <c:v>18.63</c:v>
                </c:pt>
                <c:pt idx="292">
                  <c:v>17.75</c:v>
                </c:pt>
                <c:pt idx="293">
                  <c:v>17.27</c:v>
                </c:pt>
                <c:pt idx="294">
                  <c:v>17.010000000000002</c:v>
                </c:pt>
                <c:pt idx="295">
                  <c:v>16.93</c:v>
                </c:pt>
                <c:pt idx="296">
                  <c:v>17.170000000000002</c:v>
                </c:pt>
                <c:pt idx="297">
                  <c:v>17.579999999999998</c:v>
                </c:pt>
                <c:pt idx="298">
                  <c:v>18.28</c:v>
                </c:pt>
                <c:pt idx="299">
                  <c:v>16.64</c:v>
                </c:pt>
                <c:pt idx="300">
                  <c:v>16.260000000000002</c:v>
                </c:pt>
                <c:pt idx="301">
                  <c:v>16.93</c:v>
                </c:pt>
                <c:pt idx="302">
                  <c:v>16.649999999999999</c:v>
                </c:pt>
                <c:pt idx="303">
                  <c:v>16.420000000000002</c:v>
                </c:pt>
                <c:pt idx="304">
                  <c:v>16.25</c:v>
                </c:pt>
                <c:pt idx="305">
                  <c:v>16.29</c:v>
                </c:pt>
                <c:pt idx="306">
                  <c:v>16.86</c:v>
                </c:pt>
                <c:pt idx="307">
                  <c:v>17.149999999999999</c:v>
                </c:pt>
                <c:pt idx="308">
                  <c:v>17.2</c:v>
                </c:pt>
                <c:pt idx="309">
                  <c:v>17.3</c:v>
                </c:pt>
                <c:pt idx="310">
                  <c:v>16.5</c:v>
                </c:pt>
                <c:pt idx="311">
                  <c:v>16.510000000000002</c:v>
                </c:pt>
                <c:pt idx="312">
                  <c:v>16.46</c:v>
                </c:pt>
                <c:pt idx="313">
                  <c:v>16.079999999999998</c:v>
                </c:pt>
                <c:pt idx="314">
                  <c:v>16.260000000000002</c:v>
                </c:pt>
                <c:pt idx="315">
                  <c:v>16.36</c:v>
                </c:pt>
                <c:pt idx="316">
                  <c:v>16.64</c:v>
                </c:pt>
                <c:pt idx="317">
                  <c:v>17.2</c:v>
                </c:pt>
                <c:pt idx="318">
                  <c:v>17.190000000000001</c:v>
                </c:pt>
                <c:pt idx="319">
                  <c:v>17.16</c:v>
                </c:pt>
                <c:pt idx="320">
                  <c:v>16.690000000000001</c:v>
                </c:pt>
                <c:pt idx="321">
                  <c:v>16.940000000000001</c:v>
                </c:pt>
                <c:pt idx="322">
                  <c:v>16.84</c:v>
                </c:pt>
                <c:pt idx="323">
                  <c:v>17.48</c:v>
                </c:pt>
                <c:pt idx="324">
                  <c:v>17.77</c:v>
                </c:pt>
                <c:pt idx="325">
                  <c:v>17.54</c:v>
                </c:pt>
                <c:pt idx="326">
                  <c:v>17.23</c:v>
                </c:pt>
                <c:pt idx="327">
                  <c:v>17.18</c:v>
                </c:pt>
                <c:pt idx="328">
                  <c:v>17.010000000000002</c:v>
                </c:pt>
                <c:pt idx="329">
                  <c:v>17.38</c:v>
                </c:pt>
                <c:pt idx="330">
                  <c:v>17.510000000000002</c:v>
                </c:pt>
                <c:pt idx="331">
                  <c:v>17.739999999999998</c:v>
                </c:pt>
                <c:pt idx="332">
                  <c:v>17.809999999999999</c:v>
                </c:pt>
                <c:pt idx="333">
                  <c:v>17.600000000000001</c:v>
                </c:pt>
                <c:pt idx="334">
                  <c:v>18.03</c:v>
                </c:pt>
                <c:pt idx="335">
                  <c:v>17.86</c:v>
                </c:pt>
                <c:pt idx="336">
                  <c:v>18.149999999999999</c:v>
                </c:pt>
                <c:pt idx="337">
                  <c:v>18.18</c:v>
                </c:pt>
                <c:pt idx="338">
                  <c:v>18.260000000000002</c:v>
                </c:pt>
                <c:pt idx="339">
                  <c:v>18.899999999999999</c:v>
                </c:pt>
                <c:pt idx="341">
                  <c:v>18.489999999999998</c:v>
                </c:pt>
                <c:pt idx="342">
                  <c:v>19.41</c:v>
                </c:pt>
                <c:pt idx="343">
                  <c:v>19.100000000000001</c:v>
                </c:pt>
                <c:pt idx="344">
                  <c:v>18.96</c:v>
                </c:pt>
                <c:pt idx="345">
                  <c:v>18.190000000000001</c:v>
                </c:pt>
                <c:pt idx="346">
                  <c:v>17.13</c:v>
                </c:pt>
                <c:pt idx="347">
                  <c:v>15.98</c:v>
                </c:pt>
                <c:pt idx="348">
                  <c:v>15.5</c:v>
                </c:pt>
                <c:pt idx="349">
                  <c:v>15.17</c:v>
                </c:pt>
                <c:pt idx="350">
                  <c:v>15.23</c:v>
                </c:pt>
                <c:pt idx="351">
                  <c:v>15.22</c:v>
                </c:pt>
                <c:pt idx="352">
                  <c:v>15.36</c:v>
                </c:pt>
                <c:pt idx="353">
                  <c:v>16.04</c:v>
                </c:pt>
                <c:pt idx="354">
                  <c:v>16.329999999999998</c:v>
                </c:pt>
                <c:pt idx="355">
                  <c:v>16.670000000000002</c:v>
                </c:pt>
                <c:pt idx="356">
                  <c:v>17.36</c:v>
                </c:pt>
                <c:pt idx="357">
                  <c:v>17.89</c:v>
                </c:pt>
                <c:pt idx="358">
                  <c:v>17.89</c:v>
                </c:pt>
                <c:pt idx="359">
                  <c:v>18.190000000000001</c:v>
                </c:pt>
                <c:pt idx="360">
                  <c:v>17.04</c:v>
                </c:pt>
                <c:pt idx="361">
                  <c:v>17.02</c:v>
                </c:pt>
                <c:pt idx="362">
                  <c:v>16.95</c:v>
                </c:pt>
                <c:pt idx="363">
                  <c:v>16.96</c:v>
                </c:pt>
                <c:pt idx="364">
                  <c:v>17.46</c:v>
                </c:pt>
                <c:pt idx="365">
                  <c:v>18.02</c:v>
                </c:pt>
                <c:pt idx="366">
                  <c:v>17.920000000000002</c:v>
                </c:pt>
                <c:pt idx="367">
                  <c:v>17.77</c:v>
                </c:pt>
                <c:pt idx="368">
                  <c:v>17.760000000000002</c:v>
                </c:pt>
                <c:pt idx="369">
                  <c:v>17.57</c:v>
                </c:pt>
                <c:pt idx="370">
                  <c:v>17.68</c:v>
                </c:pt>
                <c:pt idx="371">
                  <c:v>17.84</c:v>
                </c:pt>
                <c:pt idx="372">
                  <c:v>18.239999999999998</c:v>
                </c:pt>
                <c:pt idx="373">
                  <c:v>18.45</c:v>
                </c:pt>
                <c:pt idx="374">
                  <c:v>18.3</c:v>
                </c:pt>
                <c:pt idx="375">
                  <c:v>18.11</c:v>
                </c:pt>
                <c:pt idx="376">
                  <c:v>18.39</c:v>
                </c:pt>
                <c:pt idx="377">
                  <c:v>18.21</c:v>
                </c:pt>
                <c:pt idx="378">
                  <c:v>17.75</c:v>
                </c:pt>
                <c:pt idx="379">
                  <c:v>17.91</c:v>
                </c:pt>
                <c:pt idx="380">
                  <c:v>17.739999999999998</c:v>
                </c:pt>
                <c:pt idx="381">
                  <c:v>17.809999999999999</c:v>
                </c:pt>
                <c:pt idx="382">
                  <c:v>18</c:v>
                </c:pt>
                <c:pt idx="383">
                  <c:v>17.760000000000002</c:v>
                </c:pt>
                <c:pt idx="384">
                  <c:v>18.22</c:v>
                </c:pt>
                <c:pt idx="385">
                  <c:v>18.36</c:v>
                </c:pt>
                <c:pt idx="386">
                  <c:v>18.91</c:v>
                </c:pt>
                <c:pt idx="387">
                  <c:v>19.07</c:v>
                </c:pt>
                <c:pt idx="388">
                  <c:v>18.5</c:v>
                </c:pt>
                <c:pt idx="389">
                  <c:v>17.88</c:v>
                </c:pt>
                <c:pt idx="390">
                  <c:v>18.52</c:v>
                </c:pt>
                <c:pt idx="391">
                  <c:v>18.48</c:v>
                </c:pt>
                <c:pt idx="392">
                  <c:v>18.47</c:v>
                </c:pt>
                <c:pt idx="393">
                  <c:v>18.77</c:v>
                </c:pt>
                <c:pt idx="394">
                  <c:v>18.350000000000001</c:v>
                </c:pt>
                <c:pt idx="395">
                  <c:v>18.440000000000001</c:v>
                </c:pt>
                <c:pt idx="396">
                  <c:v>18.32</c:v>
                </c:pt>
                <c:pt idx="397">
                  <c:v>18.420000000000002</c:v>
                </c:pt>
                <c:pt idx="398">
                  <c:v>18.010000000000002</c:v>
                </c:pt>
                <c:pt idx="399">
                  <c:v>18.02</c:v>
                </c:pt>
                <c:pt idx="401">
                  <c:v>17.78</c:v>
                </c:pt>
                <c:pt idx="402">
                  <c:v>17.88</c:v>
                </c:pt>
                <c:pt idx="403">
                  <c:v>18.46</c:v>
                </c:pt>
                <c:pt idx="404">
                  <c:v>18.88</c:v>
                </c:pt>
                <c:pt idx="405">
                  <c:v>19.100000000000001</c:v>
                </c:pt>
                <c:pt idx="406">
                  <c:v>18.93</c:v>
                </c:pt>
                <c:pt idx="407">
                  <c:v>20.149999999999999</c:v>
                </c:pt>
                <c:pt idx="408">
                  <c:v>20.149999999999999</c:v>
                </c:pt>
                <c:pt idx="409">
                  <c:v>19.79</c:v>
                </c:pt>
                <c:pt idx="410">
                  <c:v>20.21</c:v>
                </c:pt>
                <c:pt idx="411">
                  <c:v>20.47</c:v>
                </c:pt>
                <c:pt idx="412">
                  <c:v>20.64</c:v>
                </c:pt>
                <c:pt idx="413">
                  <c:v>19.940000000000001</c:v>
                </c:pt>
                <c:pt idx="414">
                  <c:v>20.309999999999999</c:v>
                </c:pt>
                <c:pt idx="415">
                  <c:v>20.100000000000001</c:v>
                </c:pt>
                <c:pt idx="416">
                  <c:v>20.46</c:v>
                </c:pt>
                <c:pt idx="417">
                  <c:v>20.260000000000002</c:v>
                </c:pt>
                <c:pt idx="418">
                  <c:v>20.2</c:v>
                </c:pt>
                <c:pt idx="419">
                  <c:v>19.61</c:v>
                </c:pt>
                <c:pt idx="420">
                  <c:v>20.09</c:v>
                </c:pt>
                <c:pt idx="421">
                  <c:v>19.62</c:v>
                </c:pt>
                <c:pt idx="422">
                  <c:v>20.149999999999999</c:v>
                </c:pt>
                <c:pt idx="423">
                  <c:v>20.170000000000002</c:v>
                </c:pt>
                <c:pt idx="424">
                  <c:v>19.850000000000001</c:v>
                </c:pt>
                <c:pt idx="425">
                  <c:v>21.47</c:v>
                </c:pt>
                <c:pt idx="426">
                  <c:v>21.57</c:v>
                </c:pt>
                <c:pt idx="427">
                  <c:v>22.43</c:v>
                </c:pt>
                <c:pt idx="428">
                  <c:v>23.53</c:v>
                </c:pt>
                <c:pt idx="429">
                  <c:v>24.31</c:v>
                </c:pt>
                <c:pt idx="430">
                  <c:v>23.84</c:v>
                </c:pt>
                <c:pt idx="431">
                  <c:v>24.06</c:v>
                </c:pt>
                <c:pt idx="432">
                  <c:v>24</c:v>
                </c:pt>
                <c:pt idx="433">
                  <c:v>23.28</c:v>
                </c:pt>
                <c:pt idx="434">
                  <c:v>23.49</c:v>
                </c:pt>
                <c:pt idx="435">
                  <c:v>24.03</c:v>
                </c:pt>
                <c:pt idx="436">
                  <c:v>24.27</c:v>
                </c:pt>
                <c:pt idx="437">
                  <c:v>23.53</c:v>
                </c:pt>
                <c:pt idx="438">
                  <c:v>23.95</c:v>
                </c:pt>
                <c:pt idx="439">
                  <c:v>24.27</c:v>
                </c:pt>
                <c:pt idx="440">
                  <c:v>24.23</c:v>
                </c:pt>
                <c:pt idx="441">
                  <c:v>23.45</c:v>
                </c:pt>
                <c:pt idx="442">
                  <c:v>23.21</c:v>
                </c:pt>
                <c:pt idx="443">
                  <c:v>23</c:v>
                </c:pt>
                <c:pt idx="444">
                  <c:v>22.44</c:v>
                </c:pt>
                <c:pt idx="445">
                  <c:v>22.06</c:v>
                </c:pt>
                <c:pt idx="446">
                  <c:v>22.51</c:v>
                </c:pt>
                <c:pt idx="447">
                  <c:v>22.24</c:v>
                </c:pt>
                <c:pt idx="448">
                  <c:v>22.24</c:v>
                </c:pt>
                <c:pt idx="449">
                  <c:v>21.96</c:v>
                </c:pt>
                <c:pt idx="450">
                  <c:v>21.79</c:v>
                </c:pt>
                <c:pt idx="451">
                  <c:v>22.3</c:v>
                </c:pt>
                <c:pt idx="452">
                  <c:v>22.09</c:v>
                </c:pt>
                <c:pt idx="453">
                  <c:v>22.04</c:v>
                </c:pt>
                <c:pt idx="454">
                  <c:v>22</c:v>
                </c:pt>
                <c:pt idx="455">
                  <c:v>22.07</c:v>
                </c:pt>
                <c:pt idx="456">
                  <c:v>22.41</c:v>
                </c:pt>
                <c:pt idx="457">
                  <c:v>22.5</c:v>
                </c:pt>
                <c:pt idx="458">
                  <c:v>22.34</c:v>
                </c:pt>
                <c:pt idx="459">
                  <c:v>22.37</c:v>
                </c:pt>
                <c:pt idx="460">
                  <c:v>22.29</c:v>
                </c:pt>
                <c:pt idx="462">
                  <c:v>23.01</c:v>
                </c:pt>
                <c:pt idx="463">
                  <c:v>23.3</c:v>
                </c:pt>
                <c:pt idx="464">
                  <c:v>22.74</c:v>
                </c:pt>
                <c:pt idx="465">
                  <c:v>22.63</c:v>
                </c:pt>
                <c:pt idx="466">
                  <c:v>22.63</c:v>
                </c:pt>
                <c:pt idx="467">
                  <c:v>23.09</c:v>
                </c:pt>
                <c:pt idx="468">
                  <c:v>23.32</c:v>
                </c:pt>
                <c:pt idx="469">
                  <c:v>22.89</c:v>
                </c:pt>
                <c:pt idx="470">
                  <c:v>23.87</c:v>
                </c:pt>
                <c:pt idx="471">
                  <c:v>23.63</c:v>
                </c:pt>
                <c:pt idx="472">
                  <c:v>23.4</c:v>
                </c:pt>
                <c:pt idx="473">
                  <c:v>23.38</c:v>
                </c:pt>
                <c:pt idx="474">
                  <c:v>23.82</c:v>
                </c:pt>
                <c:pt idx="475">
                  <c:v>24</c:v>
                </c:pt>
                <c:pt idx="476">
                  <c:v>23.54</c:v>
                </c:pt>
                <c:pt idx="477">
                  <c:v>23.78</c:v>
                </c:pt>
                <c:pt idx="478">
                  <c:v>23.61</c:v>
                </c:pt>
                <c:pt idx="479">
                  <c:v>24.01</c:v>
                </c:pt>
                <c:pt idx="480">
                  <c:v>23.93</c:v>
                </c:pt>
                <c:pt idx="481">
                  <c:v>23.81</c:v>
                </c:pt>
                <c:pt idx="482">
                  <c:v>23.72</c:v>
                </c:pt>
                <c:pt idx="483">
                  <c:v>23.33</c:v>
                </c:pt>
                <c:pt idx="484">
                  <c:v>22.71</c:v>
                </c:pt>
                <c:pt idx="485">
                  <c:v>22.51</c:v>
                </c:pt>
                <c:pt idx="486">
                  <c:v>23.05</c:v>
                </c:pt>
                <c:pt idx="487">
                  <c:v>22.57</c:v>
                </c:pt>
                <c:pt idx="488">
                  <c:v>22.97</c:v>
                </c:pt>
                <c:pt idx="489">
                  <c:v>23.09</c:v>
                </c:pt>
                <c:pt idx="490">
                  <c:v>22.77</c:v>
                </c:pt>
                <c:pt idx="491">
                  <c:v>22.59</c:v>
                </c:pt>
                <c:pt idx="492">
                  <c:v>22.23</c:v>
                </c:pt>
                <c:pt idx="493">
                  <c:v>23.14</c:v>
                </c:pt>
                <c:pt idx="494">
                  <c:v>23.07</c:v>
                </c:pt>
                <c:pt idx="495">
                  <c:v>22.63</c:v>
                </c:pt>
                <c:pt idx="496">
                  <c:v>22.1</c:v>
                </c:pt>
                <c:pt idx="497">
                  <c:v>22.28</c:v>
                </c:pt>
                <c:pt idx="498">
                  <c:v>21.58</c:v>
                </c:pt>
                <c:pt idx="499">
                  <c:v>21.04</c:v>
                </c:pt>
                <c:pt idx="500">
                  <c:v>20.9</c:v>
                </c:pt>
                <c:pt idx="501">
                  <c:v>21.08</c:v>
                </c:pt>
                <c:pt idx="502">
                  <c:v>21.09</c:v>
                </c:pt>
                <c:pt idx="503">
                  <c:v>21.33</c:v>
                </c:pt>
                <c:pt idx="504">
                  <c:v>21.42</c:v>
                </c:pt>
                <c:pt idx="505">
                  <c:v>21.62</c:v>
                </c:pt>
                <c:pt idx="506">
                  <c:v>22.02</c:v>
                </c:pt>
                <c:pt idx="507">
                  <c:v>21.74</c:v>
                </c:pt>
                <c:pt idx="508">
                  <c:v>22.52</c:v>
                </c:pt>
                <c:pt idx="509">
                  <c:v>22.02</c:v>
                </c:pt>
                <c:pt idx="510">
                  <c:v>21.89</c:v>
                </c:pt>
                <c:pt idx="511">
                  <c:v>21.85</c:v>
                </c:pt>
                <c:pt idx="512">
                  <c:v>22.19</c:v>
                </c:pt>
                <c:pt idx="513">
                  <c:v>21.98</c:v>
                </c:pt>
                <c:pt idx="514">
                  <c:v>22.52</c:v>
                </c:pt>
                <c:pt idx="515">
                  <c:v>22.68</c:v>
                </c:pt>
                <c:pt idx="516">
                  <c:v>22.88</c:v>
                </c:pt>
                <c:pt idx="517">
                  <c:v>22.15</c:v>
                </c:pt>
                <c:pt idx="518">
                  <c:v>22.51</c:v>
                </c:pt>
                <c:pt idx="519">
                  <c:v>22.01</c:v>
                </c:pt>
                <c:pt idx="520">
                  <c:v>22.27</c:v>
                </c:pt>
                <c:pt idx="521">
                  <c:v>21.67</c:v>
                </c:pt>
                <c:pt idx="522">
                  <c:v>21.49</c:v>
                </c:pt>
                <c:pt idx="523">
                  <c:v>21.42</c:v>
                </c:pt>
                <c:pt idx="524">
                  <c:v>22.18</c:v>
                </c:pt>
                <c:pt idx="525">
                  <c:v>22.15</c:v>
                </c:pt>
                <c:pt idx="527">
                  <c:v>22.62</c:v>
                </c:pt>
                <c:pt idx="528">
                  <c:v>23.24</c:v>
                </c:pt>
                <c:pt idx="529">
                  <c:v>23.18</c:v>
                </c:pt>
                <c:pt idx="530">
                  <c:v>23.22</c:v>
                </c:pt>
                <c:pt idx="531">
                  <c:v>23.46</c:v>
                </c:pt>
                <c:pt idx="532">
                  <c:v>23.04</c:v>
                </c:pt>
                <c:pt idx="533">
                  <c:v>22.85</c:v>
                </c:pt>
                <c:pt idx="534">
                  <c:v>22.85</c:v>
                </c:pt>
                <c:pt idx="535">
                  <c:v>22.49</c:v>
                </c:pt>
                <c:pt idx="536">
                  <c:v>21.75</c:v>
                </c:pt>
                <c:pt idx="537">
                  <c:v>21.87</c:v>
                </c:pt>
                <c:pt idx="538">
                  <c:v>21.76</c:v>
                </c:pt>
                <c:pt idx="539">
                  <c:v>21.83</c:v>
                </c:pt>
                <c:pt idx="540">
                  <c:v>21.71</c:v>
                </c:pt>
                <c:pt idx="541">
                  <c:v>21.52</c:v>
                </c:pt>
                <c:pt idx="542">
                  <c:v>21.42</c:v>
                </c:pt>
                <c:pt idx="543">
                  <c:v>21.84</c:v>
                </c:pt>
                <c:pt idx="544">
                  <c:v>22.28</c:v>
                </c:pt>
                <c:pt idx="545">
                  <c:v>22.3</c:v>
                </c:pt>
                <c:pt idx="546">
                  <c:v>21.67</c:v>
                </c:pt>
                <c:pt idx="547">
                  <c:v>21.15</c:v>
                </c:pt>
                <c:pt idx="548">
                  <c:v>22.53</c:v>
                </c:pt>
                <c:pt idx="549">
                  <c:v>22.3</c:v>
                </c:pt>
                <c:pt idx="550">
                  <c:v>21.85</c:v>
                </c:pt>
                <c:pt idx="551">
                  <c:v>21.19</c:v>
                </c:pt>
                <c:pt idx="552">
                  <c:v>21.58</c:v>
                </c:pt>
                <c:pt idx="553">
                  <c:v>21.65</c:v>
                </c:pt>
                <c:pt idx="554">
                  <c:v>21.92</c:v>
                </c:pt>
                <c:pt idx="555">
                  <c:v>21.99</c:v>
                </c:pt>
                <c:pt idx="556">
                  <c:v>21.73</c:v>
                </c:pt>
                <c:pt idx="557">
                  <c:v>22.32</c:v>
                </c:pt>
                <c:pt idx="558">
                  <c:v>22.33</c:v>
                </c:pt>
                <c:pt idx="559">
                  <c:v>22.13</c:v>
                </c:pt>
                <c:pt idx="560">
                  <c:v>22.24</c:v>
                </c:pt>
                <c:pt idx="561">
                  <c:v>22.53</c:v>
                </c:pt>
                <c:pt idx="562">
                  <c:v>22.77</c:v>
                </c:pt>
                <c:pt idx="563">
                  <c:v>22.67</c:v>
                </c:pt>
                <c:pt idx="564">
                  <c:v>22.31</c:v>
                </c:pt>
                <c:pt idx="565">
                  <c:v>22.21</c:v>
                </c:pt>
                <c:pt idx="566">
                  <c:v>21.73</c:v>
                </c:pt>
                <c:pt idx="567">
                  <c:v>22.29</c:v>
                </c:pt>
                <c:pt idx="568">
                  <c:v>22.41</c:v>
                </c:pt>
                <c:pt idx="569">
                  <c:v>22.6</c:v>
                </c:pt>
                <c:pt idx="570">
                  <c:v>22.39</c:v>
                </c:pt>
                <c:pt idx="571">
                  <c:v>22.29</c:v>
                </c:pt>
                <c:pt idx="572">
                  <c:v>22.87</c:v>
                </c:pt>
                <c:pt idx="573">
                  <c:v>22.48</c:v>
                </c:pt>
                <c:pt idx="574">
                  <c:v>22.67</c:v>
                </c:pt>
                <c:pt idx="575">
                  <c:v>23.09</c:v>
                </c:pt>
                <c:pt idx="576">
                  <c:v>23.51</c:v>
                </c:pt>
                <c:pt idx="577">
                  <c:v>23.97</c:v>
                </c:pt>
                <c:pt idx="578">
                  <c:v>24.07</c:v>
                </c:pt>
                <c:pt idx="579">
                  <c:v>24.2</c:v>
                </c:pt>
                <c:pt idx="580">
                  <c:v>24.4</c:v>
                </c:pt>
                <c:pt idx="581">
                  <c:v>24.36</c:v>
                </c:pt>
                <c:pt idx="582">
                  <c:v>23.98</c:v>
                </c:pt>
                <c:pt idx="583">
                  <c:v>23.74</c:v>
                </c:pt>
                <c:pt idx="584">
                  <c:v>24.18</c:v>
                </c:pt>
                <c:pt idx="585">
                  <c:v>23.98</c:v>
                </c:pt>
                <c:pt idx="586">
                  <c:v>24.18</c:v>
                </c:pt>
                <c:pt idx="587">
                  <c:v>24.52</c:v>
                </c:pt>
                <c:pt idx="588">
                  <c:v>23.52</c:v>
                </c:pt>
                <c:pt idx="590">
                  <c:v>23.23</c:v>
                </c:pt>
                <c:pt idx="591">
                  <c:v>23.45</c:v>
                </c:pt>
                <c:pt idx="592">
                  <c:v>23.13</c:v>
                </c:pt>
                <c:pt idx="593">
                  <c:v>22.86</c:v>
                </c:pt>
                <c:pt idx="594">
                  <c:v>22.37</c:v>
                </c:pt>
                <c:pt idx="595">
                  <c:v>22.31</c:v>
                </c:pt>
                <c:pt idx="596">
                  <c:v>22.69</c:v>
                </c:pt>
                <c:pt idx="597">
                  <c:v>22.57</c:v>
                </c:pt>
                <c:pt idx="598">
                  <c:v>22.23</c:v>
                </c:pt>
                <c:pt idx="599">
                  <c:v>22.44</c:v>
                </c:pt>
                <c:pt idx="600">
                  <c:v>22.35</c:v>
                </c:pt>
                <c:pt idx="601">
                  <c:v>22.59</c:v>
                </c:pt>
                <c:pt idx="602">
                  <c:v>22.3</c:v>
                </c:pt>
                <c:pt idx="603">
                  <c:v>22.26</c:v>
                </c:pt>
                <c:pt idx="604">
                  <c:v>22.27</c:v>
                </c:pt>
                <c:pt idx="605">
                  <c:v>22.72</c:v>
                </c:pt>
                <c:pt idx="606">
                  <c:v>22.49</c:v>
                </c:pt>
                <c:pt idx="607">
                  <c:v>22.33</c:v>
                </c:pt>
                <c:pt idx="608">
                  <c:v>22.71</c:v>
                </c:pt>
                <c:pt idx="609">
                  <c:v>22.42</c:v>
                </c:pt>
                <c:pt idx="610">
                  <c:v>21.41</c:v>
                </c:pt>
                <c:pt idx="611">
                  <c:v>21.87</c:v>
                </c:pt>
                <c:pt idx="612">
                  <c:v>21.31</c:v>
                </c:pt>
                <c:pt idx="613">
                  <c:v>22.32</c:v>
                </c:pt>
                <c:pt idx="614">
                  <c:v>22.97</c:v>
                </c:pt>
                <c:pt idx="615">
                  <c:v>23.03</c:v>
                </c:pt>
                <c:pt idx="616">
                  <c:v>23.62</c:v>
                </c:pt>
                <c:pt idx="617">
                  <c:v>23.07</c:v>
                </c:pt>
                <c:pt idx="618">
                  <c:v>22.42</c:v>
                </c:pt>
                <c:pt idx="619">
                  <c:v>22.24</c:v>
                </c:pt>
                <c:pt idx="620">
                  <c:v>22.23</c:v>
                </c:pt>
                <c:pt idx="621">
                  <c:v>22.6</c:v>
                </c:pt>
                <c:pt idx="622">
                  <c:v>22.68</c:v>
                </c:pt>
                <c:pt idx="623">
                  <c:v>22.48</c:v>
                </c:pt>
                <c:pt idx="624">
                  <c:v>22.86</c:v>
                </c:pt>
                <c:pt idx="625">
                  <c:v>22.8</c:v>
                </c:pt>
                <c:pt idx="626">
                  <c:v>23</c:v>
                </c:pt>
                <c:pt idx="627">
                  <c:v>23.25</c:v>
                </c:pt>
                <c:pt idx="628">
                  <c:v>23.58</c:v>
                </c:pt>
                <c:pt idx="629">
                  <c:v>23.9</c:v>
                </c:pt>
                <c:pt idx="630">
                  <c:v>23.84</c:v>
                </c:pt>
                <c:pt idx="631">
                  <c:v>23.67</c:v>
                </c:pt>
                <c:pt idx="632">
                  <c:v>24.16</c:v>
                </c:pt>
                <c:pt idx="633">
                  <c:v>24.58</c:v>
                </c:pt>
                <c:pt idx="634">
                  <c:v>24.45</c:v>
                </c:pt>
                <c:pt idx="635">
                  <c:v>24.11</c:v>
                </c:pt>
                <c:pt idx="636">
                  <c:v>24.21</c:v>
                </c:pt>
                <c:pt idx="637">
                  <c:v>24.17</c:v>
                </c:pt>
                <c:pt idx="638">
                  <c:v>24.42</c:v>
                </c:pt>
                <c:pt idx="639">
                  <c:v>24.02</c:v>
                </c:pt>
                <c:pt idx="640">
                  <c:v>24.92</c:v>
                </c:pt>
                <c:pt idx="641">
                  <c:v>24.72</c:v>
                </c:pt>
                <c:pt idx="642">
                  <c:v>24.62</c:v>
                </c:pt>
                <c:pt idx="643">
                  <c:v>24.19</c:v>
                </c:pt>
                <c:pt idx="644">
                  <c:v>24.19</c:v>
                </c:pt>
                <c:pt idx="645">
                  <c:v>24.53</c:v>
                </c:pt>
                <c:pt idx="646">
                  <c:v>24.46</c:v>
                </c:pt>
                <c:pt idx="647">
                  <c:v>24.4</c:v>
                </c:pt>
                <c:pt idx="648">
                  <c:v>24.53</c:v>
                </c:pt>
                <c:pt idx="649">
                  <c:v>25.15</c:v>
                </c:pt>
                <c:pt idx="650">
                  <c:v>24.97</c:v>
                </c:pt>
                <c:pt idx="651">
                  <c:v>25</c:v>
                </c:pt>
                <c:pt idx="652">
                  <c:v>25.11</c:v>
                </c:pt>
                <c:pt idx="653">
                  <c:v>24.93</c:v>
                </c:pt>
                <c:pt idx="654">
                  <c:v>24.96</c:v>
                </c:pt>
                <c:pt idx="655">
                  <c:v>25.04</c:v>
                </c:pt>
                <c:pt idx="656">
                  <c:v>24.57</c:v>
                </c:pt>
                <c:pt idx="658">
                  <c:v>25.13</c:v>
                </c:pt>
                <c:pt idx="659">
                  <c:v>26.36</c:v>
                </c:pt>
                <c:pt idx="660">
                  <c:v>26.53</c:v>
                </c:pt>
                <c:pt idx="661">
                  <c:v>27.59</c:v>
                </c:pt>
                <c:pt idx="662">
                  <c:v>27.44</c:v>
                </c:pt>
                <c:pt idx="663">
                  <c:v>27.22</c:v>
                </c:pt>
                <c:pt idx="664">
                  <c:v>27.54</c:v>
                </c:pt>
                <c:pt idx="665">
                  <c:v>27.23</c:v>
                </c:pt>
                <c:pt idx="666">
                  <c:v>26.85</c:v>
                </c:pt>
                <c:pt idx="667">
                  <c:v>26.83</c:v>
                </c:pt>
                <c:pt idx="668">
                  <c:v>27.29</c:v>
                </c:pt>
                <c:pt idx="669">
                  <c:v>26.69</c:v>
                </c:pt>
                <c:pt idx="670">
                  <c:v>26.59</c:v>
                </c:pt>
                <c:pt idx="671">
                  <c:v>26.41</c:v>
                </c:pt>
                <c:pt idx="672">
                  <c:v>26.1</c:v>
                </c:pt>
                <c:pt idx="673">
                  <c:v>26.47</c:v>
                </c:pt>
                <c:pt idx="674">
                  <c:v>27</c:v>
                </c:pt>
                <c:pt idx="675">
                  <c:v>26.83</c:v>
                </c:pt>
                <c:pt idx="676">
                  <c:v>26.6</c:v>
                </c:pt>
                <c:pt idx="677">
                  <c:v>26.47</c:v>
                </c:pt>
                <c:pt idx="678">
                  <c:v>27</c:v>
                </c:pt>
                <c:pt idx="679">
                  <c:v>26.77</c:v>
                </c:pt>
                <c:pt idx="680">
                  <c:v>27.12</c:v>
                </c:pt>
                <c:pt idx="681">
                  <c:v>27.09</c:v>
                </c:pt>
                <c:pt idx="682">
                  <c:v>27.52</c:v>
                </c:pt>
                <c:pt idx="683">
                  <c:v>27.52</c:v>
                </c:pt>
                <c:pt idx="684">
                  <c:v>28.2</c:v>
                </c:pt>
                <c:pt idx="685">
                  <c:v>28.15</c:v>
                </c:pt>
                <c:pt idx="686">
                  <c:v>28</c:v>
                </c:pt>
                <c:pt idx="687">
                  <c:v>28.06</c:v>
                </c:pt>
                <c:pt idx="688">
                  <c:v>27.8</c:v>
                </c:pt>
                <c:pt idx="689">
                  <c:v>28.35</c:v>
                </c:pt>
                <c:pt idx="690">
                  <c:v>28.18</c:v>
                </c:pt>
                <c:pt idx="691">
                  <c:v>28.4</c:v>
                </c:pt>
                <c:pt idx="692">
                  <c:v>28.56</c:v>
                </c:pt>
                <c:pt idx="693">
                  <c:v>29.41</c:v>
                </c:pt>
                <c:pt idx="694">
                  <c:v>29.99</c:v>
                </c:pt>
                <c:pt idx="695">
                  <c:v>29.49</c:v>
                </c:pt>
                <c:pt idx="696">
                  <c:v>29.37</c:v>
                </c:pt>
                <c:pt idx="697">
                  <c:v>29.81</c:v>
                </c:pt>
                <c:pt idx="698">
                  <c:v>29.19</c:v>
                </c:pt>
                <c:pt idx="699">
                  <c:v>28.82</c:v>
                </c:pt>
                <c:pt idx="700">
                  <c:v>28.7</c:v>
                </c:pt>
                <c:pt idx="701">
                  <c:v>28.51</c:v>
                </c:pt>
                <c:pt idx="702">
                  <c:v>28.67</c:v>
                </c:pt>
                <c:pt idx="703">
                  <c:v>29.16</c:v>
                </c:pt>
                <c:pt idx="704">
                  <c:v>29.61</c:v>
                </c:pt>
                <c:pt idx="705">
                  <c:v>29.4</c:v>
                </c:pt>
                <c:pt idx="706">
                  <c:v>29.04</c:v>
                </c:pt>
                <c:pt idx="707">
                  <c:v>28.48</c:v>
                </c:pt>
                <c:pt idx="708">
                  <c:v>28.5</c:v>
                </c:pt>
                <c:pt idx="709">
                  <c:v>28.06</c:v>
                </c:pt>
                <c:pt idx="710">
                  <c:v>27.78</c:v>
                </c:pt>
                <c:pt idx="711">
                  <c:v>27.95</c:v>
                </c:pt>
                <c:pt idx="712">
                  <c:v>27.9</c:v>
                </c:pt>
                <c:pt idx="713">
                  <c:v>28.02</c:v>
                </c:pt>
                <c:pt idx="714">
                  <c:v>27.78</c:v>
                </c:pt>
                <c:pt idx="716">
                  <c:v>27.71</c:v>
                </c:pt>
                <c:pt idx="717">
                  <c:v>27.82</c:v>
                </c:pt>
                <c:pt idx="718">
                  <c:v>27.85</c:v>
                </c:pt>
                <c:pt idx="719">
                  <c:v>27.58</c:v>
                </c:pt>
                <c:pt idx="720">
                  <c:v>27.3</c:v>
                </c:pt>
                <c:pt idx="721">
                  <c:v>27.42</c:v>
                </c:pt>
                <c:pt idx="722">
                  <c:v>27.22</c:v>
                </c:pt>
                <c:pt idx="723">
                  <c:v>26.46</c:v>
                </c:pt>
                <c:pt idx="724">
                  <c:v>25.87</c:v>
                </c:pt>
                <c:pt idx="725">
                  <c:v>26.56</c:v>
                </c:pt>
                <c:pt idx="726">
                  <c:v>25.96</c:v>
                </c:pt>
                <c:pt idx="727">
                  <c:v>25.78</c:v>
                </c:pt>
                <c:pt idx="728">
                  <c:v>26.18</c:v>
                </c:pt>
                <c:pt idx="729">
                  <c:v>26.51</c:v>
                </c:pt>
                <c:pt idx="730">
                  <c:v>25.97</c:v>
                </c:pt>
                <c:pt idx="731">
                  <c:v>25.15</c:v>
                </c:pt>
                <c:pt idx="732">
                  <c:v>25.48</c:v>
                </c:pt>
                <c:pt idx="733">
                  <c:v>25.48</c:v>
                </c:pt>
                <c:pt idx="734">
                  <c:v>25.38</c:v>
                </c:pt>
                <c:pt idx="735">
                  <c:v>25.39</c:v>
                </c:pt>
                <c:pt idx="736">
                  <c:v>24.96</c:v>
                </c:pt>
                <c:pt idx="737">
                  <c:v>24.37</c:v>
                </c:pt>
                <c:pt idx="738">
                  <c:v>24.3</c:v>
                </c:pt>
                <c:pt idx="739">
                  <c:v>24.1</c:v>
                </c:pt>
                <c:pt idx="740">
                  <c:v>24.39</c:v>
                </c:pt>
                <c:pt idx="741">
                  <c:v>24.7</c:v>
                </c:pt>
                <c:pt idx="742">
                  <c:v>21.15</c:v>
                </c:pt>
                <c:pt idx="743">
                  <c:v>21.5</c:v>
                </c:pt>
                <c:pt idx="744">
                  <c:v>21.54</c:v>
                </c:pt>
                <c:pt idx="745">
                  <c:v>21.03</c:v>
                </c:pt>
                <c:pt idx="746">
                  <c:v>21.24</c:v>
                </c:pt>
                <c:pt idx="747">
                  <c:v>21.15</c:v>
                </c:pt>
                <c:pt idx="748">
                  <c:v>21.31</c:v>
                </c:pt>
                <c:pt idx="749">
                  <c:v>21.29</c:v>
                </c:pt>
                <c:pt idx="750">
                  <c:v>21.22</c:v>
                </c:pt>
                <c:pt idx="751">
                  <c:v>20.87</c:v>
                </c:pt>
                <c:pt idx="752">
                  <c:v>20.87</c:v>
                </c:pt>
                <c:pt idx="753">
                  <c:v>21</c:v>
                </c:pt>
                <c:pt idx="754">
                  <c:v>21.25</c:v>
                </c:pt>
                <c:pt idx="755">
                  <c:v>21.24</c:v>
                </c:pt>
                <c:pt idx="756">
                  <c:v>21.27</c:v>
                </c:pt>
                <c:pt idx="757">
                  <c:v>21.53</c:v>
                </c:pt>
                <c:pt idx="758">
                  <c:v>21.72</c:v>
                </c:pt>
                <c:pt idx="759">
                  <c:v>21.64</c:v>
                </c:pt>
                <c:pt idx="760">
                  <c:v>21.84</c:v>
                </c:pt>
                <c:pt idx="761">
                  <c:v>21.53</c:v>
                </c:pt>
                <c:pt idx="762">
                  <c:v>21.64</c:v>
                </c:pt>
                <c:pt idx="763">
                  <c:v>21.79</c:v>
                </c:pt>
                <c:pt idx="764">
                  <c:v>21.38</c:v>
                </c:pt>
                <c:pt idx="765">
                  <c:v>21.52</c:v>
                </c:pt>
                <c:pt idx="766">
                  <c:v>21.66</c:v>
                </c:pt>
                <c:pt idx="767">
                  <c:v>22.33</c:v>
                </c:pt>
                <c:pt idx="768">
                  <c:v>22.62</c:v>
                </c:pt>
                <c:pt idx="769">
                  <c:v>22.27</c:v>
                </c:pt>
                <c:pt idx="770">
                  <c:v>22.03</c:v>
                </c:pt>
                <c:pt idx="771">
                  <c:v>21.8</c:v>
                </c:pt>
                <c:pt idx="772">
                  <c:v>21.92</c:v>
                </c:pt>
                <c:pt idx="773">
                  <c:v>21.67</c:v>
                </c:pt>
                <c:pt idx="774">
                  <c:v>21.59</c:v>
                </c:pt>
                <c:pt idx="775">
                  <c:v>21.39</c:v>
                </c:pt>
                <c:pt idx="776">
                  <c:v>21.56</c:v>
                </c:pt>
                <c:pt idx="777">
                  <c:v>21.51</c:v>
                </c:pt>
                <c:pt idx="778">
                  <c:v>21</c:v>
                </c:pt>
                <c:pt idx="780">
                  <c:v>21.62</c:v>
                </c:pt>
                <c:pt idx="781">
                  <c:v>21.26</c:v>
                </c:pt>
                <c:pt idx="782">
                  <c:v>21.98</c:v>
                </c:pt>
                <c:pt idx="783">
                  <c:v>21.24</c:v>
                </c:pt>
                <c:pt idx="784">
                  <c:v>21.41</c:v>
                </c:pt>
                <c:pt idx="785">
                  <c:v>21.62</c:v>
                </c:pt>
                <c:pt idx="786">
                  <c:v>21.76</c:v>
                </c:pt>
                <c:pt idx="787">
                  <c:v>21.29</c:v>
                </c:pt>
                <c:pt idx="788">
                  <c:v>21.5</c:v>
                </c:pt>
                <c:pt idx="789">
                  <c:v>21.72</c:v>
                </c:pt>
                <c:pt idx="790">
                  <c:v>21.64</c:v>
                </c:pt>
                <c:pt idx="791">
                  <c:v>21.44</c:v>
                </c:pt>
                <c:pt idx="792">
                  <c:v>21.23</c:v>
                </c:pt>
                <c:pt idx="793">
                  <c:v>21.27</c:v>
                </c:pt>
                <c:pt idx="794">
                  <c:v>21.13</c:v>
                </c:pt>
                <c:pt idx="795">
                  <c:v>21.25</c:v>
                </c:pt>
                <c:pt idx="796">
                  <c:v>21.13</c:v>
                </c:pt>
                <c:pt idx="797">
                  <c:v>20.95</c:v>
                </c:pt>
                <c:pt idx="798">
                  <c:v>21.39</c:v>
                </c:pt>
                <c:pt idx="799">
                  <c:v>21.58</c:v>
                </c:pt>
                <c:pt idx="800">
                  <c:v>21.59</c:v>
                </c:pt>
                <c:pt idx="801">
                  <c:v>21.01</c:v>
                </c:pt>
                <c:pt idx="802">
                  <c:v>20.98</c:v>
                </c:pt>
                <c:pt idx="803">
                  <c:v>20.77</c:v>
                </c:pt>
                <c:pt idx="804">
                  <c:v>20.84</c:v>
                </c:pt>
                <c:pt idx="805">
                  <c:v>21.09</c:v>
                </c:pt>
                <c:pt idx="806">
                  <c:v>24.02</c:v>
                </c:pt>
                <c:pt idx="807">
                  <c:v>23.91</c:v>
                </c:pt>
                <c:pt idx="808">
                  <c:v>24.22</c:v>
                </c:pt>
                <c:pt idx="809">
                  <c:v>24.28</c:v>
                </c:pt>
                <c:pt idx="810">
                  <c:v>23.47</c:v>
                </c:pt>
                <c:pt idx="811">
                  <c:v>22.89</c:v>
                </c:pt>
                <c:pt idx="812">
                  <c:v>22.55</c:v>
                </c:pt>
                <c:pt idx="813">
                  <c:v>22.79</c:v>
                </c:pt>
                <c:pt idx="814">
                  <c:v>23.04</c:v>
                </c:pt>
                <c:pt idx="815">
                  <c:v>22.94</c:v>
                </c:pt>
                <c:pt idx="816">
                  <c:v>22.92</c:v>
                </c:pt>
                <c:pt idx="817">
                  <c:v>22.59</c:v>
                </c:pt>
                <c:pt idx="818">
                  <c:v>22.18</c:v>
                </c:pt>
                <c:pt idx="819">
                  <c:v>21.92</c:v>
                </c:pt>
                <c:pt idx="820">
                  <c:v>22.33</c:v>
                </c:pt>
                <c:pt idx="821">
                  <c:v>22.86</c:v>
                </c:pt>
                <c:pt idx="822">
                  <c:v>22.96</c:v>
                </c:pt>
                <c:pt idx="823">
                  <c:v>22.66</c:v>
                </c:pt>
                <c:pt idx="824">
                  <c:v>22.46</c:v>
                </c:pt>
                <c:pt idx="825">
                  <c:v>22.61</c:v>
                </c:pt>
                <c:pt idx="826">
                  <c:v>22.32</c:v>
                </c:pt>
                <c:pt idx="827">
                  <c:v>22.22</c:v>
                </c:pt>
                <c:pt idx="828">
                  <c:v>21.48</c:v>
                </c:pt>
                <c:pt idx="829">
                  <c:v>21.66</c:v>
                </c:pt>
                <c:pt idx="830">
                  <c:v>21.48</c:v>
                </c:pt>
                <c:pt idx="831">
                  <c:v>21.57</c:v>
                </c:pt>
                <c:pt idx="832">
                  <c:v>21.67</c:v>
                </c:pt>
                <c:pt idx="833">
                  <c:v>21.01</c:v>
                </c:pt>
                <c:pt idx="834">
                  <c:v>21.38</c:v>
                </c:pt>
                <c:pt idx="835">
                  <c:v>21.37</c:v>
                </c:pt>
                <c:pt idx="836">
                  <c:v>21.25</c:v>
                </c:pt>
                <c:pt idx="837">
                  <c:v>21.61</c:v>
                </c:pt>
                <c:pt idx="838">
                  <c:v>21.29</c:v>
                </c:pt>
                <c:pt idx="839">
                  <c:v>21.25</c:v>
                </c:pt>
                <c:pt idx="840">
                  <c:v>21.6</c:v>
                </c:pt>
                <c:pt idx="841">
                  <c:v>21.59</c:v>
                </c:pt>
                <c:pt idx="842">
                  <c:v>22.31</c:v>
                </c:pt>
                <c:pt idx="843">
                  <c:v>22.71</c:v>
                </c:pt>
                <c:pt idx="844">
                  <c:v>22.46</c:v>
                </c:pt>
                <c:pt idx="845">
                  <c:v>22.1</c:v>
                </c:pt>
                <c:pt idx="846">
                  <c:v>22.26</c:v>
                </c:pt>
                <c:pt idx="847">
                  <c:v>22.05</c:v>
                </c:pt>
                <c:pt idx="848">
                  <c:v>21.98</c:v>
                </c:pt>
                <c:pt idx="849">
                  <c:v>22.35</c:v>
                </c:pt>
                <c:pt idx="850">
                  <c:v>23.04</c:v>
                </c:pt>
                <c:pt idx="851">
                  <c:v>23.09</c:v>
                </c:pt>
                <c:pt idx="852">
                  <c:v>23.04</c:v>
                </c:pt>
                <c:pt idx="854">
                  <c:v>22.05</c:v>
                </c:pt>
                <c:pt idx="855">
                  <c:v>21.99</c:v>
                </c:pt>
                <c:pt idx="856">
                  <c:v>22.45</c:v>
                </c:pt>
                <c:pt idx="857">
                  <c:v>22.64</c:v>
                </c:pt>
                <c:pt idx="858">
                  <c:v>22.67</c:v>
                </c:pt>
                <c:pt idx="859">
                  <c:v>22.53</c:v>
                </c:pt>
                <c:pt idx="860">
                  <c:v>22.83</c:v>
                </c:pt>
                <c:pt idx="861">
                  <c:v>22.6</c:v>
                </c:pt>
                <c:pt idx="862">
                  <c:v>22.3</c:v>
                </c:pt>
                <c:pt idx="863">
                  <c:v>22.56</c:v>
                </c:pt>
                <c:pt idx="864">
                  <c:v>21.89</c:v>
                </c:pt>
                <c:pt idx="865">
                  <c:v>22.19</c:v>
                </c:pt>
                <c:pt idx="866">
                  <c:v>22.06</c:v>
                </c:pt>
                <c:pt idx="867">
                  <c:v>21.2</c:v>
                </c:pt>
                <c:pt idx="868">
                  <c:v>21.64</c:v>
                </c:pt>
                <c:pt idx="869">
                  <c:v>21.43</c:v>
                </c:pt>
                <c:pt idx="870">
                  <c:v>21.06</c:v>
                </c:pt>
                <c:pt idx="871">
                  <c:v>20.09</c:v>
                </c:pt>
                <c:pt idx="872">
                  <c:v>20.03</c:v>
                </c:pt>
                <c:pt idx="873">
                  <c:v>21.41</c:v>
                </c:pt>
                <c:pt idx="874">
                  <c:v>20.91</c:v>
                </c:pt>
                <c:pt idx="875">
                  <c:v>21.09</c:v>
                </c:pt>
                <c:pt idx="876">
                  <c:v>20.440000000000001</c:v>
                </c:pt>
                <c:pt idx="877">
                  <c:v>20.61</c:v>
                </c:pt>
                <c:pt idx="878">
                  <c:v>20.71</c:v>
                </c:pt>
                <c:pt idx="879">
                  <c:v>20.43</c:v>
                </c:pt>
                <c:pt idx="880">
                  <c:v>20.37</c:v>
                </c:pt>
                <c:pt idx="881">
                  <c:v>19.46</c:v>
                </c:pt>
                <c:pt idx="882">
                  <c:v>19.48</c:v>
                </c:pt>
                <c:pt idx="883">
                  <c:v>19.45</c:v>
                </c:pt>
                <c:pt idx="884">
                  <c:v>18.89</c:v>
                </c:pt>
                <c:pt idx="885">
                  <c:v>18.39</c:v>
                </c:pt>
                <c:pt idx="886">
                  <c:v>18.84</c:v>
                </c:pt>
                <c:pt idx="887">
                  <c:v>18.09</c:v>
                </c:pt>
                <c:pt idx="888">
                  <c:v>18.14</c:v>
                </c:pt>
                <c:pt idx="889">
                  <c:v>18.420000000000002</c:v>
                </c:pt>
                <c:pt idx="890">
                  <c:v>18.88</c:v>
                </c:pt>
                <c:pt idx="891">
                  <c:v>19.52</c:v>
                </c:pt>
                <c:pt idx="892">
                  <c:v>19.45</c:v>
                </c:pt>
                <c:pt idx="893">
                  <c:v>19.28</c:v>
                </c:pt>
                <c:pt idx="894">
                  <c:v>18.47</c:v>
                </c:pt>
                <c:pt idx="895">
                  <c:v>17.79</c:v>
                </c:pt>
                <c:pt idx="896">
                  <c:v>18.09</c:v>
                </c:pt>
                <c:pt idx="897">
                  <c:v>18.5</c:v>
                </c:pt>
                <c:pt idx="898">
                  <c:v>18.04</c:v>
                </c:pt>
                <c:pt idx="899">
                  <c:v>18.079999999999998</c:v>
                </c:pt>
                <c:pt idx="900">
                  <c:v>18.18</c:v>
                </c:pt>
                <c:pt idx="901">
                  <c:v>18.41</c:v>
                </c:pt>
                <c:pt idx="902">
                  <c:v>18.66</c:v>
                </c:pt>
                <c:pt idx="903">
                  <c:v>18.7</c:v>
                </c:pt>
                <c:pt idx="904">
                  <c:v>18.95</c:v>
                </c:pt>
                <c:pt idx="905">
                  <c:v>18.760000000000002</c:v>
                </c:pt>
                <c:pt idx="906">
                  <c:v>18.72</c:v>
                </c:pt>
                <c:pt idx="907">
                  <c:v>19.04</c:v>
                </c:pt>
                <c:pt idx="908">
                  <c:v>19.04</c:v>
                </c:pt>
                <c:pt idx="909">
                  <c:v>19.72</c:v>
                </c:pt>
                <c:pt idx="910">
                  <c:v>19.52</c:v>
                </c:pt>
                <c:pt idx="912">
                  <c:v>19.239999999999998</c:v>
                </c:pt>
                <c:pt idx="913">
                  <c:v>19.02</c:v>
                </c:pt>
                <c:pt idx="914">
                  <c:v>18.79</c:v>
                </c:pt>
                <c:pt idx="915">
                  <c:v>19.190000000000001</c:v>
                </c:pt>
                <c:pt idx="916">
                  <c:v>19.36</c:v>
                </c:pt>
                <c:pt idx="917">
                  <c:v>19.670000000000002</c:v>
                </c:pt>
                <c:pt idx="918">
                  <c:v>19.82</c:v>
                </c:pt>
                <c:pt idx="919">
                  <c:v>20.07</c:v>
                </c:pt>
                <c:pt idx="920">
                  <c:v>20.2</c:v>
                </c:pt>
                <c:pt idx="921">
                  <c:v>21.03</c:v>
                </c:pt>
                <c:pt idx="922">
                  <c:v>20.66</c:v>
                </c:pt>
                <c:pt idx="923">
                  <c:v>20.65</c:v>
                </c:pt>
                <c:pt idx="924">
                  <c:v>20.73</c:v>
                </c:pt>
                <c:pt idx="925">
                  <c:v>21.32</c:v>
                </c:pt>
                <c:pt idx="926">
                  <c:v>21.51</c:v>
                </c:pt>
                <c:pt idx="927">
                  <c:v>20.9</c:v>
                </c:pt>
                <c:pt idx="928">
                  <c:v>21.07</c:v>
                </c:pt>
                <c:pt idx="929">
                  <c:v>21.14</c:v>
                </c:pt>
                <c:pt idx="930">
                  <c:v>21.18</c:v>
                </c:pt>
                <c:pt idx="931">
                  <c:v>20.65</c:v>
                </c:pt>
                <c:pt idx="932">
                  <c:v>20.6</c:v>
                </c:pt>
                <c:pt idx="933">
                  <c:v>19.72</c:v>
                </c:pt>
                <c:pt idx="934">
                  <c:v>20.52</c:v>
                </c:pt>
                <c:pt idx="935">
                  <c:v>20.7</c:v>
                </c:pt>
                <c:pt idx="936">
                  <c:v>21.08</c:v>
                </c:pt>
                <c:pt idx="937">
                  <c:v>20.9</c:v>
                </c:pt>
                <c:pt idx="938">
                  <c:v>20.75</c:v>
                </c:pt>
                <c:pt idx="939">
                  <c:v>20.58</c:v>
                </c:pt>
                <c:pt idx="940">
                  <c:v>20.66</c:v>
                </c:pt>
                <c:pt idx="941">
                  <c:v>20.329999999999998</c:v>
                </c:pt>
                <c:pt idx="942">
                  <c:v>20.03</c:v>
                </c:pt>
                <c:pt idx="943">
                  <c:v>19.329999999999998</c:v>
                </c:pt>
                <c:pt idx="944">
                  <c:v>19.3</c:v>
                </c:pt>
                <c:pt idx="945">
                  <c:v>19.329999999999998</c:v>
                </c:pt>
                <c:pt idx="946">
                  <c:v>19.829999999999998</c:v>
                </c:pt>
                <c:pt idx="947">
                  <c:v>19.66</c:v>
                </c:pt>
                <c:pt idx="948">
                  <c:v>19.510000000000002</c:v>
                </c:pt>
                <c:pt idx="949">
                  <c:v>18.79</c:v>
                </c:pt>
                <c:pt idx="950">
                  <c:v>19.3</c:v>
                </c:pt>
                <c:pt idx="951">
                  <c:v>18.7</c:v>
                </c:pt>
                <c:pt idx="952">
                  <c:v>18.72</c:v>
                </c:pt>
                <c:pt idx="953">
                  <c:v>18.47</c:v>
                </c:pt>
                <c:pt idx="954">
                  <c:v>18.41</c:v>
                </c:pt>
                <c:pt idx="955">
                  <c:v>18.23</c:v>
                </c:pt>
                <c:pt idx="956">
                  <c:v>17.8</c:v>
                </c:pt>
                <c:pt idx="957">
                  <c:v>17.22</c:v>
                </c:pt>
                <c:pt idx="958">
                  <c:v>17.28</c:v>
                </c:pt>
                <c:pt idx="959">
                  <c:v>17.399999999999999</c:v>
                </c:pt>
                <c:pt idx="960">
                  <c:v>17.82</c:v>
                </c:pt>
                <c:pt idx="961">
                  <c:v>17.95</c:v>
                </c:pt>
                <c:pt idx="962">
                  <c:v>18.22</c:v>
                </c:pt>
                <c:pt idx="963">
                  <c:v>18.39</c:v>
                </c:pt>
                <c:pt idx="964">
                  <c:v>17.91</c:v>
                </c:pt>
                <c:pt idx="965">
                  <c:v>17.53</c:v>
                </c:pt>
                <c:pt idx="966">
                  <c:v>17.8</c:v>
                </c:pt>
                <c:pt idx="967">
                  <c:v>18</c:v>
                </c:pt>
                <c:pt idx="968">
                  <c:v>17.79</c:v>
                </c:pt>
                <c:pt idx="970">
                  <c:v>17.62</c:v>
                </c:pt>
                <c:pt idx="971">
                  <c:v>18.86</c:v>
                </c:pt>
                <c:pt idx="972">
                  <c:v>18.690000000000001</c:v>
                </c:pt>
                <c:pt idx="973">
                  <c:v>18.600000000000001</c:v>
                </c:pt>
                <c:pt idx="974">
                  <c:v>19.32</c:v>
                </c:pt>
                <c:pt idx="975">
                  <c:v>19.809999999999999</c:v>
                </c:pt>
                <c:pt idx="976">
                  <c:v>20.16</c:v>
                </c:pt>
                <c:pt idx="977">
                  <c:v>20.57</c:v>
                </c:pt>
                <c:pt idx="978">
                  <c:v>20.56</c:v>
                </c:pt>
                <c:pt idx="979">
                  <c:v>20.440000000000001</c:v>
                </c:pt>
                <c:pt idx="980">
                  <c:v>20.73</c:v>
                </c:pt>
                <c:pt idx="981">
                  <c:v>20.36</c:v>
                </c:pt>
                <c:pt idx="982">
                  <c:v>20.440000000000001</c:v>
                </c:pt>
                <c:pt idx="983">
                  <c:v>20.36</c:v>
                </c:pt>
                <c:pt idx="984">
                  <c:v>20.059999999999999</c:v>
                </c:pt>
                <c:pt idx="985">
                  <c:v>19.670000000000002</c:v>
                </c:pt>
                <c:pt idx="986">
                  <c:v>19.52</c:v>
                </c:pt>
                <c:pt idx="987">
                  <c:v>19.78</c:v>
                </c:pt>
                <c:pt idx="988">
                  <c:v>19.579999999999998</c:v>
                </c:pt>
                <c:pt idx="989">
                  <c:v>19.71</c:v>
                </c:pt>
                <c:pt idx="990">
                  <c:v>19.829999999999998</c:v>
                </c:pt>
                <c:pt idx="991">
                  <c:v>20.51</c:v>
                </c:pt>
                <c:pt idx="992">
                  <c:v>19.420000000000002</c:v>
                </c:pt>
                <c:pt idx="993">
                  <c:v>19.53</c:v>
                </c:pt>
                <c:pt idx="994">
                  <c:v>19.010000000000002</c:v>
                </c:pt>
                <c:pt idx="995">
                  <c:v>18.98</c:v>
                </c:pt>
                <c:pt idx="996">
                  <c:v>19.25</c:v>
                </c:pt>
                <c:pt idx="997">
                  <c:v>18.809999999999999</c:v>
                </c:pt>
                <c:pt idx="998">
                  <c:v>19.02</c:v>
                </c:pt>
                <c:pt idx="999">
                  <c:v>19.09</c:v>
                </c:pt>
                <c:pt idx="1000">
                  <c:v>19.920000000000002</c:v>
                </c:pt>
                <c:pt idx="1001">
                  <c:v>19.32</c:v>
                </c:pt>
                <c:pt idx="1002">
                  <c:v>18.96</c:v>
                </c:pt>
                <c:pt idx="1003">
                  <c:v>18.63</c:v>
                </c:pt>
                <c:pt idx="1004">
                  <c:v>19.12</c:v>
                </c:pt>
                <c:pt idx="1005">
                  <c:v>18.25</c:v>
                </c:pt>
                <c:pt idx="1006">
                  <c:v>18.170000000000002</c:v>
                </c:pt>
                <c:pt idx="1007">
                  <c:v>18.739999999999998</c:v>
                </c:pt>
                <c:pt idx="1008">
                  <c:v>18.48</c:v>
                </c:pt>
                <c:pt idx="1009">
                  <c:v>18.84</c:v>
                </c:pt>
                <c:pt idx="1010">
                  <c:v>18.82</c:v>
                </c:pt>
                <c:pt idx="1011">
                  <c:v>18.63</c:v>
                </c:pt>
                <c:pt idx="1012">
                  <c:v>18.3</c:v>
                </c:pt>
                <c:pt idx="1013">
                  <c:v>18.13</c:v>
                </c:pt>
                <c:pt idx="1014">
                  <c:v>18.420000000000002</c:v>
                </c:pt>
                <c:pt idx="1015">
                  <c:v>17.93</c:v>
                </c:pt>
                <c:pt idx="1016">
                  <c:v>17.579999999999998</c:v>
                </c:pt>
                <c:pt idx="1017">
                  <c:v>17.850000000000001</c:v>
                </c:pt>
              </c:numCache>
            </c:numRef>
          </c:val>
          <c:smooth val="0"/>
          <c:extLst>
            <c:ext xmlns:c16="http://schemas.microsoft.com/office/drawing/2014/chart" uri="{C3380CC4-5D6E-409C-BE32-E72D297353CC}">
              <c16:uniqueId val="{00000001-E440-554D-90AA-410E9F10D61A}"/>
            </c:ext>
          </c:extLst>
        </c:ser>
        <c:dLbls>
          <c:showLegendKey val="0"/>
          <c:showVal val="0"/>
          <c:showCatName val="0"/>
          <c:showSerName val="0"/>
          <c:showPercent val="0"/>
          <c:showBubbleSize val="0"/>
        </c:dLbls>
        <c:smooth val="0"/>
        <c:axId val="355900803"/>
        <c:axId val="1105677174"/>
      </c:lineChart>
      <c:dateAx>
        <c:axId val="355900803"/>
        <c:scaling>
          <c:orientation val="minMax"/>
        </c:scaling>
        <c:delete val="0"/>
        <c:axPos val="b"/>
        <c:title>
          <c:tx>
            <c:rich>
              <a:bodyPr/>
              <a:lstStyle/>
              <a:p>
                <a:pPr lvl="0">
                  <a:defRPr b="0">
                    <a:solidFill>
                      <a:srgbClr val="000000"/>
                    </a:solidFill>
                    <a:latin typeface="+mn-lt"/>
                  </a:defRPr>
                </a:pPr>
                <a:endParaRPr lang="en-US"/>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1105677174"/>
        <c:crosses val="autoZero"/>
        <c:auto val="1"/>
        <c:lblOffset val="100"/>
        <c:baseTimeUnit val="days"/>
      </c:dateAx>
      <c:valAx>
        <c:axId val="1105677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m/d/yyyy" sourceLinked="1"/>
        <c:majorTickMark val="none"/>
        <c:minorTickMark val="none"/>
        <c:tickLblPos val="nextTo"/>
        <c:spPr>
          <a:ln/>
        </c:spPr>
        <c:txPr>
          <a:bodyPr/>
          <a:lstStyle/>
          <a:p>
            <a:pPr lvl="0">
              <a:defRPr b="0">
                <a:solidFill>
                  <a:srgbClr val="000000"/>
                </a:solidFill>
                <a:latin typeface="+mn-lt"/>
              </a:defRPr>
            </a:pPr>
            <a:endParaRPr lang="en-US"/>
          </a:p>
        </c:txPr>
        <c:crossAx val="35590080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952500</xdr:colOff>
      <xdr:row>7</xdr:row>
      <xdr:rowOff>123825</xdr:rowOff>
    </xdr:from>
    <xdr:ext cx="4048125" cy="2505075"/>
    <xdr:graphicFrame macro="">
      <xdr:nvGraphicFramePr>
        <xdr:cNvPr id="434205151" name="Chart 1" title="Chart">
          <a:extLst>
            <a:ext uri="{FF2B5EF4-FFF2-40B4-BE49-F238E27FC236}">
              <a16:creationId xmlns:a16="http://schemas.microsoft.com/office/drawing/2014/main" id="{00000000-0008-0000-0900-0000DF71E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20"/>
  <sheetViews>
    <sheetView showGridLines="0" tabSelected="1" workbookViewId="0"/>
  </sheetViews>
  <sheetFormatPr baseColWidth="10" defaultColWidth="12.6640625" defaultRowHeight="15" customHeight="1"/>
  <cols>
    <col min="1" max="1" width="8.6640625" customWidth="1"/>
    <col min="2" max="2" width="19" customWidth="1"/>
    <col min="3" max="3" width="27.1640625" customWidth="1"/>
    <col min="4" max="4" width="30.1640625" customWidth="1"/>
    <col min="5" max="5" width="42.6640625" customWidth="1"/>
    <col min="6" max="6" width="26.1640625" customWidth="1"/>
    <col min="7" max="25" width="8.6640625" customWidth="1"/>
  </cols>
  <sheetData>
    <row r="1" spans="1:25" ht="14.25" customHeight="1">
      <c r="A1" s="1"/>
      <c r="B1" s="1"/>
      <c r="C1" s="1"/>
      <c r="D1" s="1"/>
      <c r="E1" s="1"/>
      <c r="F1" s="1"/>
      <c r="G1" s="1"/>
      <c r="H1" s="1"/>
      <c r="I1" s="1"/>
      <c r="J1" s="1"/>
      <c r="K1" s="1"/>
      <c r="L1" s="1"/>
      <c r="M1" s="1"/>
      <c r="N1" s="1"/>
      <c r="O1" s="1"/>
      <c r="P1" s="1"/>
      <c r="Q1" s="1"/>
      <c r="R1" s="1"/>
      <c r="S1" s="1"/>
      <c r="T1" s="1"/>
      <c r="U1" s="1"/>
      <c r="V1" s="1"/>
      <c r="W1" s="1"/>
      <c r="X1" s="1"/>
      <c r="Y1" s="1"/>
    </row>
    <row r="2" spans="1:25" ht="34.5" customHeight="1">
      <c r="A2" s="2"/>
      <c r="B2" s="3" t="s">
        <v>0</v>
      </c>
      <c r="C2" s="3" t="s">
        <v>1</v>
      </c>
      <c r="D2" s="3" t="s">
        <v>2</v>
      </c>
      <c r="E2" s="3" t="s">
        <v>3</v>
      </c>
      <c r="F2" s="3" t="s">
        <v>4</v>
      </c>
      <c r="G2" s="2"/>
      <c r="H2" s="2"/>
      <c r="I2" s="2"/>
      <c r="J2" s="2"/>
      <c r="K2" s="2"/>
      <c r="L2" s="2"/>
      <c r="M2" s="2"/>
      <c r="N2" s="2"/>
      <c r="O2" s="2"/>
      <c r="P2" s="2"/>
      <c r="Q2" s="2"/>
      <c r="R2" s="2"/>
      <c r="S2" s="2"/>
      <c r="T2" s="2"/>
      <c r="U2" s="2"/>
      <c r="V2" s="2"/>
      <c r="W2" s="2"/>
      <c r="X2" s="2"/>
      <c r="Y2" s="2"/>
    </row>
    <row r="3" spans="1:25" ht="15" customHeight="1">
      <c r="A3" s="1"/>
      <c r="B3" s="202" t="s">
        <v>10</v>
      </c>
      <c r="C3" s="203" t="s">
        <v>11</v>
      </c>
      <c r="D3" s="199" t="s">
        <v>12</v>
      </c>
      <c r="E3" s="199" t="s">
        <v>13</v>
      </c>
      <c r="F3" s="199" t="s">
        <v>14</v>
      </c>
      <c r="G3" s="1"/>
      <c r="H3" s="1"/>
      <c r="I3" s="1"/>
      <c r="J3" s="1"/>
      <c r="K3" s="1"/>
      <c r="L3" s="1"/>
      <c r="M3" s="1"/>
      <c r="N3" s="1"/>
      <c r="O3" s="1"/>
      <c r="P3" s="1"/>
      <c r="Q3" s="1"/>
      <c r="R3" s="1"/>
      <c r="S3" s="1"/>
      <c r="T3" s="1"/>
      <c r="U3" s="1"/>
      <c r="V3" s="1"/>
      <c r="W3" s="1"/>
      <c r="X3" s="1"/>
      <c r="Y3" s="1"/>
    </row>
    <row r="4" spans="1:25" ht="14.25" customHeight="1">
      <c r="A4" s="1"/>
      <c r="B4" s="200"/>
      <c r="C4" s="200"/>
      <c r="D4" s="200"/>
      <c r="E4" s="200"/>
      <c r="F4" s="200"/>
      <c r="G4" s="1"/>
      <c r="H4" s="1"/>
      <c r="I4" s="1"/>
      <c r="J4" s="1"/>
      <c r="K4" s="1"/>
      <c r="L4" s="1"/>
      <c r="M4" s="1"/>
      <c r="N4" s="1"/>
      <c r="O4" s="1"/>
      <c r="P4" s="1"/>
      <c r="Q4" s="1"/>
      <c r="R4" s="1"/>
      <c r="S4" s="1"/>
      <c r="T4" s="1"/>
      <c r="U4" s="1"/>
      <c r="V4" s="1"/>
      <c r="W4" s="1"/>
      <c r="X4" s="1"/>
      <c r="Y4" s="1"/>
    </row>
    <row r="5" spans="1:25" ht="14.25" customHeight="1">
      <c r="A5" s="1"/>
      <c r="B5" s="200"/>
      <c r="C5" s="200"/>
      <c r="D5" s="200"/>
      <c r="E5" s="200"/>
      <c r="F5" s="200"/>
      <c r="G5" s="1"/>
      <c r="H5" s="1"/>
      <c r="I5" s="1"/>
      <c r="J5" s="1"/>
      <c r="K5" s="1"/>
      <c r="L5" s="1"/>
      <c r="M5" s="1"/>
      <c r="N5" s="1"/>
      <c r="O5" s="1"/>
      <c r="P5" s="1"/>
      <c r="Q5" s="1"/>
      <c r="R5" s="1"/>
      <c r="S5" s="1"/>
      <c r="T5" s="1"/>
      <c r="U5" s="1"/>
      <c r="V5" s="1"/>
      <c r="W5" s="1"/>
      <c r="X5" s="1"/>
      <c r="Y5" s="1"/>
    </row>
    <row r="6" spans="1:25" ht="14.25" customHeight="1">
      <c r="A6" s="1"/>
      <c r="B6" s="201"/>
      <c r="C6" s="201"/>
      <c r="D6" s="201"/>
      <c r="E6" s="201"/>
      <c r="F6" s="201"/>
      <c r="G6" s="1"/>
      <c r="H6" s="1"/>
      <c r="I6" s="1"/>
      <c r="J6" s="1"/>
      <c r="K6" s="1"/>
      <c r="L6" s="1"/>
      <c r="M6" s="1"/>
      <c r="N6" s="1"/>
      <c r="O6" s="1"/>
      <c r="P6" s="1"/>
      <c r="Q6" s="1"/>
      <c r="R6" s="1"/>
      <c r="S6" s="1"/>
      <c r="T6" s="1"/>
      <c r="U6" s="1"/>
      <c r="V6" s="1"/>
      <c r="W6" s="1"/>
      <c r="X6" s="1"/>
      <c r="Y6" s="1"/>
    </row>
    <row r="7" spans="1:25" ht="14.25" customHeight="1">
      <c r="A7" s="1"/>
      <c r="B7" s="204" t="s">
        <v>15</v>
      </c>
      <c r="C7" s="203" t="s">
        <v>16</v>
      </c>
      <c r="D7" s="198" t="s">
        <v>17</v>
      </c>
      <c r="E7" s="199" t="s">
        <v>18</v>
      </c>
      <c r="F7" s="199" t="s">
        <v>19</v>
      </c>
      <c r="G7" s="1"/>
      <c r="H7" s="1"/>
      <c r="I7" s="1"/>
      <c r="J7" s="1"/>
      <c r="K7" s="1"/>
      <c r="L7" s="1"/>
      <c r="M7" s="1"/>
      <c r="N7" s="1"/>
      <c r="O7" s="1"/>
      <c r="P7" s="1"/>
      <c r="Q7" s="1"/>
      <c r="R7" s="1"/>
      <c r="S7" s="1"/>
      <c r="T7" s="1"/>
      <c r="U7" s="1"/>
      <c r="V7" s="1"/>
      <c r="W7" s="1"/>
      <c r="X7" s="1"/>
      <c r="Y7" s="1"/>
    </row>
    <row r="8" spans="1:25" ht="14.25" customHeight="1">
      <c r="A8" s="1"/>
      <c r="B8" s="200"/>
      <c r="C8" s="200"/>
      <c r="D8" s="177"/>
      <c r="E8" s="200"/>
      <c r="F8" s="200"/>
      <c r="G8" s="1"/>
      <c r="H8" s="1"/>
      <c r="I8" s="1"/>
      <c r="J8" s="1"/>
      <c r="K8" s="1"/>
      <c r="L8" s="1"/>
      <c r="M8" s="1"/>
      <c r="N8" s="1"/>
      <c r="O8" s="1"/>
      <c r="P8" s="1"/>
      <c r="Q8" s="1"/>
      <c r="R8" s="1"/>
      <c r="S8" s="1"/>
      <c r="T8" s="1"/>
      <c r="U8" s="1"/>
      <c r="V8" s="1"/>
      <c r="W8" s="1"/>
      <c r="X8" s="1"/>
      <c r="Y8" s="1"/>
    </row>
    <row r="9" spans="1:25" ht="14.25" customHeight="1">
      <c r="A9" s="1"/>
      <c r="B9" s="200"/>
      <c r="C9" s="200"/>
      <c r="D9" s="177"/>
      <c r="E9" s="200"/>
      <c r="F9" s="200"/>
      <c r="G9" s="1"/>
      <c r="H9" s="1"/>
      <c r="I9" s="1"/>
      <c r="J9" s="1"/>
      <c r="K9" s="1"/>
      <c r="L9" s="1"/>
      <c r="M9" s="1"/>
      <c r="N9" s="1"/>
      <c r="O9" s="1"/>
      <c r="P9" s="1"/>
      <c r="Q9" s="1"/>
      <c r="R9" s="1"/>
      <c r="S9" s="1"/>
      <c r="T9" s="1"/>
      <c r="U9" s="1"/>
      <c r="V9" s="1"/>
      <c r="W9" s="1"/>
      <c r="X9" s="1"/>
      <c r="Y9" s="1"/>
    </row>
    <row r="10" spans="1:25" ht="14.25" customHeight="1">
      <c r="A10" s="1"/>
      <c r="B10" s="201"/>
      <c r="C10" s="201"/>
      <c r="D10" s="180"/>
      <c r="E10" s="201"/>
      <c r="F10" s="201"/>
      <c r="G10" s="1"/>
      <c r="H10" s="1"/>
      <c r="I10" s="1"/>
      <c r="J10" s="1"/>
      <c r="K10" s="1"/>
      <c r="L10" s="1"/>
      <c r="M10" s="1"/>
      <c r="N10" s="1"/>
      <c r="O10" s="1"/>
      <c r="P10" s="1"/>
      <c r="Q10" s="1"/>
      <c r="R10" s="1"/>
      <c r="S10" s="1"/>
      <c r="T10" s="1"/>
      <c r="U10" s="1"/>
      <c r="V10" s="1"/>
      <c r="W10" s="1"/>
      <c r="X10" s="1"/>
      <c r="Y10" s="1"/>
    </row>
    <row r="11" spans="1:25" ht="14.25" customHeight="1">
      <c r="A11" s="1"/>
      <c r="B11" s="204" t="s">
        <v>20</v>
      </c>
      <c r="C11" s="203" t="s">
        <v>16</v>
      </c>
      <c r="D11" s="199" t="s">
        <v>21</v>
      </c>
      <c r="E11" s="199" t="s">
        <v>22</v>
      </c>
      <c r="F11" s="199" t="s">
        <v>23</v>
      </c>
      <c r="G11" s="1"/>
      <c r="H11" s="1"/>
      <c r="I11" s="1"/>
      <c r="J11" s="1"/>
      <c r="K11" s="1"/>
      <c r="L11" s="1"/>
      <c r="M11" s="1"/>
      <c r="N11" s="1"/>
      <c r="O11" s="1"/>
      <c r="P11" s="1"/>
      <c r="Q11" s="1"/>
      <c r="R11" s="1"/>
      <c r="S11" s="1"/>
      <c r="T11" s="1"/>
      <c r="U11" s="1"/>
      <c r="V11" s="1"/>
      <c r="W11" s="1"/>
      <c r="X11" s="1"/>
      <c r="Y11" s="1"/>
    </row>
    <row r="12" spans="1:25" ht="14.25" customHeight="1">
      <c r="A12" s="1"/>
      <c r="B12" s="200"/>
      <c r="C12" s="200"/>
      <c r="D12" s="200"/>
      <c r="E12" s="200"/>
      <c r="F12" s="200"/>
      <c r="G12" s="1"/>
      <c r="H12" s="1"/>
      <c r="I12" s="1"/>
      <c r="J12" s="1"/>
      <c r="K12" s="1"/>
      <c r="L12" s="1"/>
      <c r="M12" s="1"/>
      <c r="N12" s="1"/>
      <c r="O12" s="1"/>
      <c r="P12" s="1"/>
      <c r="Q12" s="1"/>
      <c r="R12" s="1"/>
      <c r="S12" s="1"/>
      <c r="T12" s="1"/>
      <c r="U12" s="1"/>
      <c r="V12" s="1"/>
      <c r="W12" s="1"/>
      <c r="X12" s="1"/>
      <c r="Y12" s="1"/>
    </row>
    <row r="13" spans="1:25" ht="14.25" customHeight="1">
      <c r="A13" s="1"/>
      <c r="B13" s="200"/>
      <c r="C13" s="200"/>
      <c r="D13" s="200"/>
      <c r="E13" s="200"/>
      <c r="F13" s="200"/>
      <c r="G13" s="1"/>
      <c r="H13" s="1"/>
      <c r="I13" s="1"/>
      <c r="J13" s="1"/>
      <c r="K13" s="1"/>
      <c r="L13" s="1"/>
      <c r="M13" s="1"/>
      <c r="N13" s="1"/>
      <c r="O13" s="1"/>
      <c r="P13" s="1"/>
      <c r="Q13" s="1"/>
      <c r="R13" s="1"/>
      <c r="S13" s="1"/>
      <c r="T13" s="1"/>
      <c r="U13" s="1"/>
      <c r="V13" s="1"/>
      <c r="W13" s="1"/>
      <c r="X13" s="1"/>
      <c r="Y13" s="1"/>
    </row>
    <row r="14" spans="1:25" ht="14.25" customHeight="1">
      <c r="A14" s="1"/>
      <c r="B14" s="201"/>
      <c r="C14" s="201"/>
      <c r="D14" s="201"/>
      <c r="E14" s="201"/>
      <c r="F14" s="201"/>
      <c r="G14" s="1"/>
      <c r="H14" s="1"/>
      <c r="I14" s="1"/>
      <c r="J14" s="1"/>
      <c r="K14" s="1"/>
      <c r="L14" s="1"/>
      <c r="M14" s="1"/>
      <c r="N14" s="1"/>
      <c r="O14" s="1"/>
      <c r="P14" s="1"/>
      <c r="Q14" s="1"/>
      <c r="R14" s="1"/>
      <c r="S14" s="1"/>
      <c r="T14" s="1"/>
      <c r="U14" s="1"/>
      <c r="V14" s="1"/>
      <c r="W14" s="1"/>
      <c r="X14" s="1"/>
      <c r="Y14" s="1"/>
    </row>
    <row r="15" spans="1:25" ht="14.25" customHeight="1">
      <c r="A15" s="1"/>
      <c r="B15" s="204" t="s">
        <v>24</v>
      </c>
      <c r="C15" s="199" t="s">
        <v>25</v>
      </c>
      <c r="D15" s="199" t="s">
        <v>26</v>
      </c>
      <c r="E15" s="203" t="s">
        <v>27</v>
      </c>
      <c r="F15" s="199" t="s">
        <v>28</v>
      </c>
      <c r="G15" s="1"/>
      <c r="H15" s="1"/>
      <c r="I15" s="1"/>
      <c r="J15" s="1"/>
      <c r="K15" s="1"/>
      <c r="L15" s="1"/>
      <c r="M15" s="1"/>
      <c r="N15" s="1"/>
      <c r="O15" s="1"/>
      <c r="P15" s="1"/>
      <c r="Q15" s="1"/>
      <c r="R15" s="1"/>
      <c r="S15" s="1"/>
      <c r="T15" s="1"/>
      <c r="U15" s="1"/>
      <c r="V15" s="1"/>
      <c r="W15" s="1"/>
      <c r="X15" s="1"/>
      <c r="Y15" s="1"/>
    </row>
    <row r="16" spans="1:25" ht="24.75" customHeight="1">
      <c r="A16" s="1"/>
      <c r="B16" s="200"/>
      <c r="C16" s="200"/>
      <c r="D16" s="200"/>
      <c r="E16" s="200"/>
      <c r="F16" s="200"/>
      <c r="G16" s="1"/>
      <c r="H16" s="1"/>
      <c r="I16" s="1"/>
      <c r="J16" s="1"/>
      <c r="K16" s="1"/>
      <c r="L16" s="1"/>
      <c r="M16" s="1"/>
      <c r="N16" s="1"/>
      <c r="O16" s="1"/>
      <c r="P16" s="1"/>
      <c r="Q16" s="1"/>
      <c r="R16" s="1"/>
      <c r="S16" s="1"/>
      <c r="T16" s="1"/>
      <c r="U16" s="1"/>
      <c r="V16" s="1"/>
      <c r="W16" s="1"/>
      <c r="X16" s="1"/>
      <c r="Y16" s="1"/>
    </row>
    <row r="17" spans="1:25" ht="14.25" customHeight="1">
      <c r="A17" s="1"/>
      <c r="B17" s="201"/>
      <c r="C17" s="201"/>
      <c r="D17" s="201"/>
      <c r="E17" s="201"/>
      <c r="F17" s="201"/>
      <c r="G17" s="1"/>
      <c r="H17" s="1"/>
      <c r="I17" s="1"/>
      <c r="J17" s="1"/>
      <c r="K17" s="1"/>
      <c r="L17" s="1"/>
      <c r="M17" s="1"/>
      <c r="N17" s="1"/>
      <c r="O17" s="1"/>
      <c r="P17" s="1"/>
      <c r="Q17" s="1"/>
      <c r="R17" s="1"/>
      <c r="S17" s="1"/>
      <c r="T17" s="1"/>
      <c r="U17" s="1"/>
      <c r="V17" s="1"/>
      <c r="W17" s="1"/>
      <c r="X17" s="1"/>
      <c r="Y17" s="1"/>
    </row>
    <row r="18" spans="1:25" ht="14.25" customHeight="1">
      <c r="A18" s="1"/>
      <c r="B18" s="204" t="s">
        <v>29</v>
      </c>
      <c r="C18" s="205" t="s">
        <v>30</v>
      </c>
      <c r="D18" s="199" t="s">
        <v>31</v>
      </c>
      <c r="E18" s="199" t="s">
        <v>32</v>
      </c>
      <c r="F18" s="205" t="s">
        <v>33</v>
      </c>
      <c r="G18" s="1"/>
      <c r="H18" s="1"/>
      <c r="I18" s="1"/>
      <c r="J18" s="1"/>
      <c r="K18" s="1"/>
      <c r="L18" s="1"/>
      <c r="M18" s="1"/>
      <c r="N18" s="1"/>
      <c r="O18" s="1"/>
      <c r="P18" s="1"/>
      <c r="Q18" s="1"/>
      <c r="R18" s="1"/>
      <c r="S18" s="1"/>
      <c r="T18" s="1"/>
      <c r="U18" s="1"/>
      <c r="V18" s="1"/>
      <c r="W18" s="1"/>
      <c r="X18" s="1"/>
      <c r="Y18" s="1"/>
    </row>
    <row r="19" spans="1:25" ht="14.25" customHeight="1">
      <c r="A19" s="1"/>
      <c r="B19" s="200"/>
      <c r="C19" s="200"/>
      <c r="D19" s="200"/>
      <c r="E19" s="200"/>
      <c r="F19" s="200"/>
      <c r="G19" s="1"/>
      <c r="H19" s="4"/>
      <c r="I19" s="1"/>
      <c r="J19" s="1"/>
      <c r="K19" s="1"/>
      <c r="L19" s="1"/>
      <c r="M19" s="1"/>
      <c r="N19" s="1"/>
      <c r="O19" s="1"/>
      <c r="P19" s="1"/>
      <c r="Q19" s="1"/>
      <c r="R19" s="1"/>
      <c r="S19" s="1"/>
      <c r="T19" s="1"/>
      <c r="U19" s="1"/>
      <c r="V19" s="1"/>
      <c r="W19" s="1"/>
      <c r="X19" s="1"/>
      <c r="Y19" s="1"/>
    </row>
    <row r="20" spans="1:25">
      <c r="B20" s="200"/>
      <c r="C20" s="200"/>
      <c r="D20" s="200"/>
      <c r="E20" s="200"/>
      <c r="F20" s="200"/>
    </row>
    <row r="21" spans="1:25" ht="14.25" customHeight="1">
      <c r="A21" s="1"/>
      <c r="B21" s="201"/>
      <c r="C21" s="201"/>
      <c r="D21" s="201"/>
      <c r="E21" s="201"/>
      <c r="F21" s="201"/>
      <c r="G21" s="1"/>
      <c r="H21" s="1"/>
      <c r="I21" s="1"/>
      <c r="J21" s="1"/>
      <c r="K21" s="1"/>
      <c r="L21" s="1"/>
      <c r="M21" s="1"/>
      <c r="N21" s="1"/>
      <c r="O21" s="1"/>
      <c r="P21" s="1"/>
      <c r="Q21" s="1"/>
      <c r="R21" s="1"/>
      <c r="S21" s="1"/>
      <c r="T21" s="1"/>
      <c r="U21" s="1"/>
      <c r="V21" s="1"/>
      <c r="W21" s="1"/>
      <c r="X21" s="1"/>
      <c r="Y21" s="1"/>
    </row>
    <row r="22" spans="1:25" ht="14.25" customHeight="1">
      <c r="A22" s="1"/>
      <c r="B22" s="5"/>
      <c r="C22" s="5"/>
      <c r="E22" s="5"/>
      <c r="F22" s="5"/>
      <c r="G22" s="1"/>
      <c r="H22" s="1"/>
      <c r="I22" s="1"/>
      <c r="J22" s="1"/>
      <c r="K22" s="1"/>
      <c r="L22" s="1"/>
      <c r="M22" s="1"/>
      <c r="N22" s="1"/>
      <c r="O22" s="1"/>
      <c r="P22" s="1"/>
      <c r="Q22" s="1"/>
      <c r="R22" s="1"/>
      <c r="S22" s="1"/>
      <c r="T22" s="1"/>
      <c r="U22" s="1"/>
      <c r="V22" s="1"/>
      <c r="W22" s="1"/>
      <c r="X22" s="1"/>
      <c r="Y22" s="1"/>
    </row>
    <row r="23" spans="1:25" ht="14.25" customHeight="1">
      <c r="A23" s="1"/>
      <c r="B23" s="185" t="s">
        <v>5</v>
      </c>
      <c r="C23" s="176"/>
      <c r="D23" s="176"/>
      <c r="E23" s="176"/>
      <c r="F23" s="176"/>
      <c r="G23" s="176"/>
      <c r="H23" s="6"/>
      <c r="I23" s="1"/>
      <c r="J23" s="1"/>
      <c r="K23" s="1"/>
      <c r="L23" s="1"/>
      <c r="M23" s="1"/>
      <c r="N23" s="1"/>
      <c r="O23" s="1"/>
      <c r="P23" s="1"/>
      <c r="Q23" s="1"/>
      <c r="R23" s="1"/>
      <c r="S23" s="1"/>
      <c r="T23" s="1"/>
      <c r="U23" s="1"/>
      <c r="V23" s="1"/>
      <c r="W23" s="1"/>
      <c r="X23" s="1"/>
      <c r="Y23" s="1"/>
    </row>
    <row r="24" spans="1:25" ht="14.25" customHeight="1">
      <c r="A24" s="1"/>
      <c r="B24" s="184" t="s">
        <v>34</v>
      </c>
      <c r="C24" s="182"/>
      <c r="D24" s="182"/>
      <c r="E24" s="182"/>
      <c r="F24" s="182"/>
      <c r="G24" s="183"/>
      <c r="H24" s="6"/>
      <c r="I24" s="1"/>
      <c r="J24" s="1"/>
      <c r="K24" s="1"/>
      <c r="L24" s="1"/>
      <c r="M24" s="1"/>
      <c r="N24" s="1"/>
      <c r="O24" s="1"/>
      <c r="P24" s="1"/>
      <c r="Q24" s="1"/>
      <c r="R24" s="1"/>
      <c r="S24" s="1"/>
      <c r="T24" s="1"/>
      <c r="U24" s="1"/>
      <c r="V24" s="1"/>
      <c r="W24" s="1"/>
      <c r="X24" s="1"/>
      <c r="Y24" s="1"/>
    </row>
    <row r="25" spans="1:25" ht="14.25" customHeight="1">
      <c r="A25" s="1"/>
      <c r="B25" s="181" t="s">
        <v>35</v>
      </c>
      <c r="C25" s="182"/>
      <c r="D25" s="182"/>
      <c r="E25" s="182"/>
      <c r="F25" s="182"/>
      <c r="G25" s="183"/>
      <c r="H25" s="6"/>
      <c r="I25" s="1"/>
      <c r="J25" s="1"/>
      <c r="K25" s="1"/>
      <c r="L25" s="1"/>
      <c r="M25" s="1"/>
      <c r="N25" s="1"/>
      <c r="O25" s="1"/>
      <c r="P25" s="1"/>
      <c r="Q25" s="1"/>
      <c r="R25" s="1"/>
      <c r="S25" s="1"/>
      <c r="T25" s="1"/>
      <c r="U25" s="1"/>
      <c r="V25" s="1"/>
      <c r="W25" s="1"/>
      <c r="X25" s="1"/>
      <c r="Y25" s="1"/>
    </row>
    <row r="26" spans="1:25" ht="14.25" customHeight="1">
      <c r="A26" s="1"/>
      <c r="B26" s="181" t="s">
        <v>36</v>
      </c>
      <c r="C26" s="182"/>
      <c r="D26" s="182"/>
      <c r="E26" s="182"/>
      <c r="F26" s="182"/>
      <c r="G26" s="183"/>
      <c r="H26" s="6"/>
      <c r="I26" s="1"/>
      <c r="J26" s="1"/>
      <c r="K26" s="1"/>
      <c r="L26" s="1"/>
      <c r="M26" s="1"/>
      <c r="N26" s="1"/>
      <c r="O26" s="1"/>
      <c r="P26" s="1"/>
      <c r="Q26" s="1"/>
      <c r="R26" s="1"/>
      <c r="S26" s="1"/>
      <c r="T26" s="1"/>
      <c r="U26" s="1"/>
      <c r="V26" s="1"/>
      <c r="W26" s="1"/>
      <c r="X26" s="1"/>
      <c r="Y26" s="1"/>
    </row>
    <row r="27" spans="1:25" ht="14.25" customHeight="1">
      <c r="A27" s="1"/>
      <c r="B27" s="181" t="s">
        <v>37</v>
      </c>
      <c r="C27" s="182"/>
      <c r="D27" s="182"/>
      <c r="E27" s="182"/>
      <c r="F27" s="182"/>
      <c r="G27" s="183"/>
      <c r="H27" s="6"/>
      <c r="I27" s="1"/>
      <c r="J27" s="1"/>
      <c r="K27" s="1"/>
      <c r="L27" s="1"/>
      <c r="M27" s="1"/>
      <c r="N27" s="1"/>
      <c r="O27" s="1"/>
      <c r="P27" s="1"/>
      <c r="Q27" s="1"/>
      <c r="R27" s="1"/>
      <c r="S27" s="1"/>
      <c r="T27" s="1"/>
      <c r="U27" s="1"/>
      <c r="V27" s="1"/>
      <c r="W27" s="1"/>
      <c r="X27" s="1"/>
      <c r="Y27" s="1"/>
    </row>
    <row r="28" spans="1:25" ht="14.25" customHeight="1">
      <c r="A28" s="1"/>
      <c r="B28" s="181" t="s">
        <v>38</v>
      </c>
      <c r="C28" s="182"/>
      <c r="D28" s="182"/>
      <c r="E28" s="182"/>
      <c r="F28" s="182"/>
      <c r="G28" s="183"/>
      <c r="H28" s="6"/>
      <c r="I28" s="1"/>
      <c r="J28" s="1"/>
      <c r="K28" s="1"/>
      <c r="L28" s="1"/>
      <c r="M28" s="1"/>
      <c r="N28" s="1"/>
      <c r="O28" s="1"/>
      <c r="P28" s="1"/>
      <c r="Q28" s="1"/>
      <c r="R28" s="1"/>
      <c r="S28" s="1"/>
      <c r="T28" s="1"/>
      <c r="U28" s="1"/>
      <c r="V28" s="1"/>
      <c r="W28" s="1"/>
      <c r="X28" s="1"/>
      <c r="Y28" s="1"/>
    </row>
    <row r="29" spans="1:25" ht="14.25" customHeight="1">
      <c r="A29" s="1"/>
      <c r="B29" s="181" t="s">
        <v>39</v>
      </c>
      <c r="C29" s="182"/>
      <c r="D29" s="182"/>
      <c r="E29" s="182"/>
      <c r="F29" s="182"/>
      <c r="G29" s="183"/>
      <c r="H29" s="6"/>
      <c r="I29" s="1"/>
      <c r="J29" s="1"/>
      <c r="K29" s="1"/>
      <c r="L29" s="1"/>
      <c r="M29" s="1"/>
      <c r="N29" s="1"/>
      <c r="O29" s="1"/>
      <c r="P29" s="1"/>
      <c r="Q29" s="1"/>
      <c r="R29" s="1"/>
      <c r="S29" s="1"/>
      <c r="T29" s="1"/>
      <c r="U29" s="1"/>
      <c r="V29" s="1"/>
      <c r="W29" s="1"/>
      <c r="X29" s="1"/>
      <c r="Y29" s="1"/>
    </row>
    <row r="30" spans="1:25" ht="14.25" customHeight="1">
      <c r="B30" s="181" t="s">
        <v>40</v>
      </c>
      <c r="C30" s="182"/>
      <c r="D30" s="182"/>
      <c r="E30" s="182"/>
      <c r="F30" s="182"/>
      <c r="G30" s="183"/>
      <c r="H30" s="1"/>
      <c r="I30" s="1"/>
      <c r="J30" s="1"/>
      <c r="K30" s="1"/>
      <c r="L30" s="1"/>
      <c r="M30" s="1"/>
      <c r="N30" s="1"/>
      <c r="O30" s="1"/>
      <c r="P30" s="1"/>
      <c r="Q30" s="1"/>
      <c r="R30" s="1"/>
      <c r="S30" s="1"/>
      <c r="T30" s="1"/>
      <c r="U30" s="1"/>
      <c r="V30" s="1"/>
      <c r="W30" s="1"/>
      <c r="X30" s="1"/>
      <c r="Y30" s="1"/>
    </row>
    <row r="31" spans="1:25" ht="14.25" customHeight="1">
      <c r="A31" s="1"/>
      <c r="B31" s="184" t="s">
        <v>41</v>
      </c>
      <c r="C31" s="182"/>
      <c r="D31" s="182"/>
      <c r="E31" s="182"/>
      <c r="F31" s="182"/>
      <c r="G31" s="183"/>
      <c r="H31" s="1"/>
      <c r="I31" s="1"/>
      <c r="J31" s="1"/>
      <c r="K31" s="1"/>
      <c r="L31" s="1"/>
      <c r="M31" s="1"/>
      <c r="N31" s="1"/>
      <c r="O31" s="1"/>
      <c r="P31" s="1"/>
      <c r="Q31" s="1"/>
      <c r="R31" s="1"/>
      <c r="S31" s="1"/>
      <c r="T31" s="1"/>
      <c r="U31" s="1"/>
      <c r="V31" s="1"/>
      <c r="W31" s="1"/>
      <c r="X31" s="1"/>
      <c r="Y31" s="1"/>
    </row>
    <row r="32" spans="1:25" ht="14.25" customHeight="1">
      <c r="A32" s="1"/>
      <c r="B32" s="181" t="s">
        <v>42</v>
      </c>
      <c r="C32" s="182"/>
      <c r="D32" s="182"/>
      <c r="E32" s="182"/>
      <c r="F32" s="182"/>
      <c r="G32" s="183"/>
      <c r="H32" s="1"/>
      <c r="I32" s="1"/>
      <c r="J32" s="1"/>
      <c r="K32" s="1"/>
      <c r="L32" s="1"/>
      <c r="M32" s="1"/>
      <c r="N32" s="1"/>
      <c r="O32" s="1"/>
      <c r="P32" s="1"/>
      <c r="Q32" s="1"/>
      <c r="R32" s="1"/>
      <c r="S32" s="1"/>
      <c r="T32" s="1"/>
      <c r="U32" s="1"/>
      <c r="V32" s="1"/>
      <c r="W32" s="1"/>
      <c r="X32" s="1"/>
      <c r="Y32" s="1"/>
    </row>
    <row r="33" spans="1:25" ht="14.25" customHeight="1">
      <c r="A33" s="1"/>
      <c r="B33" s="184" t="s">
        <v>43</v>
      </c>
      <c r="C33" s="182"/>
      <c r="D33" s="182"/>
      <c r="E33" s="182"/>
      <c r="F33" s="182"/>
      <c r="G33" s="183"/>
      <c r="H33" s="1"/>
      <c r="I33" s="1"/>
      <c r="J33" s="1"/>
      <c r="K33" s="1"/>
      <c r="L33" s="1"/>
      <c r="M33" s="1"/>
      <c r="N33" s="1"/>
      <c r="O33" s="1"/>
      <c r="P33" s="1"/>
      <c r="Q33" s="1"/>
      <c r="R33" s="1"/>
      <c r="S33" s="1"/>
      <c r="T33" s="1"/>
      <c r="U33" s="1"/>
      <c r="V33" s="1"/>
      <c r="W33" s="1"/>
      <c r="X33" s="1"/>
      <c r="Y33" s="1"/>
    </row>
    <row r="34" spans="1:25" ht="14.25" customHeight="1">
      <c r="A34" s="1"/>
      <c r="B34" s="181" t="s">
        <v>44</v>
      </c>
      <c r="C34" s="182"/>
      <c r="D34" s="182"/>
      <c r="E34" s="182"/>
      <c r="F34" s="182"/>
      <c r="G34" s="183"/>
      <c r="H34" s="1"/>
      <c r="I34" s="1"/>
      <c r="J34" s="1"/>
      <c r="K34" s="1"/>
      <c r="L34" s="1"/>
      <c r="M34" s="1"/>
      <c r="N34" s="1"/>
      <c r="O34" s="1"/>
      <c r="P34" s="1"/>
      <c r="Q34" s="1"/>
      <c r="R34" s="1"/>
      <c r="S34" s="1"/>
      <c r="T34" s="1"/>
      <c r="U34" s="1"/>
      <c r="V34" s="1"/>
      <c r="W34" s="1"/>
      <c r="X34" s="1"/>
      <c r="Y34" s="1"/>
    </row>
    <row r="35" spans="1:25" ht="14.25" customHeight="1">
      <c r="A35" s="1"/>
      <c r="B35" s="181" t="s">
        <v>45</v>
      </c>
      <c r="C35" s="182"/>
      <c r="D35" s="182"/>
      <c r="E35" s="182"/>
      <c r="F35" s="182"/>
      <c r="G35" s="183"/>
      <c r="H35" s="1"/>
      <c r="I35" s="1"/>
      <c r="J35" s="1"/>
      <c r="K35" s="1"/>
      <c r="L35" s="1"/>
      <c r="M35" s="1"/>
      <c r="N35" s="1"/>
      <c r="O35" s="1"/>
      <c r="P35" s="1"/>
      <c r="Q35" s="1"/>
      <c r="R35" s="1"/>
      <c r="S35" s="1"/>
      <c r="T35" s="1"/>
      <c r="U35" s="1"/>
      <c r="V35" s="1"/>
      <c r="W35" s="1"/>
      <c r="X35" s="1"/>
      <c r="Y35" s="1"/>
    </row>
    <row r="36" spans="1:25" ht="14.25" customHeight="1">
      <c r="A36" s="1"/>
      <c r="B36" s="1"/>
      <c r="C36" s="1"/>
      <c r="D36" s="1"/>
      <c r="E36" s="1"/>
      <c r="F36" s="1"/>
      <c r="G36" s="1"/>
      <c r="H36" s="1"/>
      <c r="I36" s="1"/>
      <c r="J36" s="1"/>
      <c r="K36" s="1"/>
      <c r="L36" s="1"/>
      <c r="M36" s="1"/>
      <c r="N36" s="1"/>
      <c r="O36" s="1"/>
      <c r="P36" s="1"/>
      <c r="Q36" s="1"/>
      <c r="R36" s="1"/>
      <c r="S36" s="1"/>
      <c r="T36" s="1"/>
      <c r="U36" s="1"/>
      <c r="V36" s="1"/>
      <c r="W36" s="1"/>
      <c r="X36" s="1"/>
      <c r="Y36" s="1"/>
    </row>
    <row r="37" spans="1:25" ht="14.25" customHeight="1">
      <c r="A37" s="1"/>
      <c r="B37" s="185" t="s">
        <v>6</v>
      </c>
      <c r="C37" s="176"/>
      <c r="D37" s="176"/>
      <c r="E37" s="176"/>
      <c r="F37" s="176"/>
      <c r="G37" s="176"/>
      <c r="H37" s="1"/>
      <c r="I37" s="1"/>
      <c r="J37" s="1"/>
      <c r="K37" s="1"/>
      <c r="L37" s="1"/>
      <c r="M37" s="1"/>
      <c r="N37" s="1"/>
      <c r="O37" s="1"/>
      <c r="P37" s="1"/>
      <c r="Q37" s="1"/>
      <c r="R37" s="1"/>
      <c r="S37" s="1"/>
      <c r="T37" s="1"/>
      <c r="U37" s="1"/>
      <c r="V37" s="1"/>
      <c r="W37" s="1"/>
      <c r="X37" s="1"/>
      <c r="Y37" s="1"/>
    </row>
    <row r="38" spans="1:25" ht="14.25" customHeight="1">
      <c r="A38" s="1"/>
      <c r="B38" s="186" t="s">
        <v>7</v>
      </c>
      <c r="C38" s="173"/>
      <c r="D38" s="173"/>
      <c r="E38" s="173"/>
      <c r="F38" s="173"/>
      <c r="G38" s="174"/>
      <c r="H38" s="1"/>
      <c r="I38" s="1"/>
      <c r="J38" s="1"/>
      <c r="K38" s="1"/>
      <c r="L38" s="1"/>
      <c r="M38" s="1"/>
      <c r="N38" s="1"/>
      <c r="O38" s="1"/>
      <c r="P38" s="1"/>
      <c r="Q38" s="1"/>
      <c r="R38" s="1"/>
      <c r="S38" s="1"/>
      <c r="T38" s="1"/>
      <c r="U38" s="1"/>
      <c r="V38" s="1"/>
      <c r="W38" s="1"/>
      <c r="X38" s="1"/>
      <c r="Y38" s="1"/>
    </row>
    <row r="39" spans="1:25" ht="14.25" customHeight="1">
      <c r="A39" s="1"/>
      <c r="B39" s="187" t="s">
        <v>46</v>
      </c>
      <c r="C39" s="176"/>
      <c r="D39" s="176"/>
      <c r="E39" s="176"/>
      <c r="F39" s="176"/>
      <c r="G39" s="177"/>
      <c r="H39" s="1"/>
      <c r="I39" s="1"/>
      <c r="J39" s="1"/>
      <c r="K39" s="1"/>
      <c r="L39" s="1"/>
      <c r="M39" s="1"/>
      <c r="N39" s="1"/>
      <c r="O39" s="1"/>
      <c r="P39" s="1"/>
      <c r="Q39" s="1"/>
      <c r="R39" s="1"/>
      <c r="S39" s="1"/>
      <c r="T39" s="1"/>
      <c r="U39" s="1"/>
      <c r="V39" s="1"/>
      <c r="W39" s="1"/>
      <c r="X39" s="1"/>
      <c r="Y39" s="1"/>
    </row>
    <row r="40" spans="1:25" ht="14.25" customHeight="1">
      <c r="A40" s="1"/>
      <c r="B40" s="175"/>
      <c r="C40" s="176"/>
      <c r="D40" s="176"/>
      <c r="E40" s="176"/>
      <c r="F40" s="176"/>
      <c r="G40" s="177"/>
      <c r="H40" s="1"/>
      <c r="I40" s="1"/>
      <c r="J40" s="1"/>
      <c r="K40" s="1"/>
      <c r="L40" s="1"/>
      <c r="M40" s="1"/>
      <c r="N40" s="1"/>
      <c r="O40" s="1"/>
      <c r="P40" s="1"/>
      <c r="Q40" s="1"/>
      <c r="R40" s="1"/>
      <c r="S40" s="1"/>
      <c r="T40" s="1"/>
      <c r="U40" s="1"/>
      <c r="V40" s="1"/>
      <c r="W40" s="1"/>
      <c r="X40" s="1"/>
      <c r="Y40" s="1"/>
    </row>
    <row r="41" spans="1:25" ht="14.25" customHeight="1">
      <c r="A41" s="1"/>
      <c r="B41" s="178"/>
      <c r="C41" s="179"/>
      <c r="D41" s="179"/>
      <c r="E41" s="179"/>
      <c r="F41" s="179"/>
      <c r="G41" s="180"/>
      <c r="H41" s="1"/>
      <c r="I41" s="1"/>
      <c r="J41" s="1"/>
      <c r="K41" s="1"/>
      <c r="L41" s="1"/>
      <c r="M41" s="1"/>
      <c r="N41" s="1"/>
      <c r="O41" s="1"/>
      <c r="P41" s="1"/>
      <c r="Q41" s="1"/>
      <c r="R41" s="1"/>
      <c r="S41" s="1"/>
      <c r="T41" s="1"/>
      <c r="U41" s="1"/>
      <c r="V41" s="1"/>
      <c r="W41" s="1"/>
      <c r="X41" s="1"/>
      <c r="Y41" s="1"/>
    </row>
    <row r="42" spans="1:25" ht="14.25" customHeight="1">
      <c r="A42" s="1"/>
      <c r="B42" s="188" t="s">
        <v>8</v>
      </c>
      <c r="C42" s="176"/>
      <c r="D42" s="176"/>
      <c r="E42" s="176"/>
      <c r="F42" s="176"/>
      <c r="G42" s="177"/>
      <c r="H42" s="1"/>
      <c r="I42" s="1"/>
      <c r="J42" s="1"/>
      <c r="K42" s="1"/>
      <c r="L42" s="1"/>
      <c r="M42" s="1"/>
      <c r="N42" s="1"/>
      <c r="O42" s="1"/>
      <c r="P42" s="1"/>
      <c r="Q42" s="1"/>
      <c r="R42" s="1"/>
      <c r="S42" s="1"/>
      <c r="T42" s="1"/>
      <c r="U42" s="1"/>
      <c r="V42" s="1"/>
      <c r="W42" s="1"/>
      <c r="X42" s="1"/>
      <c r="Y42" s="1"/>
    </row>
    <row r="43" spans="1:25" ht="14.25" customHeight="1">
      <c r="A43" s="1"/>
      <c r="B43" s="187" t="s">
        <v>47</v>
      </c>
      <c r="C43" s="176"/>
      <c r="D43" s="176"/>
      <c r="E43" s="176"/>
      <c r="F43" s="176"/>
      <c r="G43" s="177"/>
      <c r="H43" s="1"/>
      <c r="I43" s="1"/>
      <c r="J43" s="1"/>
      <c r="K43" s="1"/>
      <c r="L43" s="1"/>
      <c r="M43" s="1"/>
      <c r="N43" s="1"/>
      <c r="O43" s="1"/>
      <c r="P43" s="1"/>
      <c r="Q43" s="1"/>
      <c r="R43" s="1"/>
      <c r="S43" s="1"/>
      <c r="T43" s="1"/>
      <c r="U43" s="1"/>
      <c r="V43" s="1"/>
      <c r="W43" s="1"/>
      <c r="X43" s="1"/>
      <c r="Y43" s="1"/>
    </row>
    <row r="44" spans="1:25" ht="14.25" customHeight="1">
      <c r="A44" s="1"/>
      <c r="B44" s="175"/>
      <c r="C44" s="176"/>
      <c r="D44" s="176"/>
      <c r="E44" s="176"/>
      <c r="F44" s="176"/>
      <c r="G44" s="177"/>
      <c r="H44" s="1"/>
      <c r="I44" s="1"/>
      <c r="J44" s="1"/>
      <c r="K44" s="1"/>
      <c r="L44" s="1"/>
      <c r="M44" s="1"/>
      <c r="N44" s="1"/>
      <c r="O44" s="1"/>
      <c r="P44" s="1"/>
      <c r="Q44" s="1"/>
      <c r="R44" s="1"/>
      <c r="S44" s="1"/>
      <c r="T44" s="1"/>
      <c r="U44" s="1"/>
      <c r="V44" s="1"/>
      <c r="W44" s="1"/>
      <c r="X44" s="1"/>
      <c r="Y44" s="1"/>
    </row>
    <row r="45" spans="1:25" ht="14.25" customHeight="1">
      <c r="A45" s="1"/>
      <c r="B45" s="178"/>
      <c r="C45" s="179"/>
      <c r="D45" s="179"/>
      <c r="E45" s="179"/>
      <c r="F45" s="179"/>
      <c r="G45" s="180"/>
      <c r="H45" s="1"/>
      <c r="I45" s="1"/>
      <c r="J45" s="1"/>
      <c r="K45" s="1"/>
      <c r="L45" s="1"/>
      <c r="M45" s="1"/>
      <c r="N45" s="1"/>
      <c r="O45" s="1"/>
      <c r="P45" s="1"/>
      <c r="Q45" s="1"/>
      <c r="R45" s="1"/>
      <c r="S45" s="1"/>
      <c r="T45" s="1"/>
      <c r="U45" s="1"/>
      <c r="V45" s="1"/>
      <c r="W45" s="1"/>
      <c r="X45" s="1"/>
      <c r="Y45" s="1"/>
    </row>
    <row r="46" spans="1:25" ht="14.25" customHeight="1">
      <c r="A46" s="1"/>
      <c r="B46" s="189" t="s">
        <v>48</v>
      </c>
      <c r="C46" s="176"/>
      <c r="D46" s="176"/>
      <c r="E46" s="176"/>
      <c r="F46" s="176"/>
      <c r="G46" s="177"/>
      <c r="H46" s="1"/>
      <c r="I46" s="1"/>
      <c r="J46" s="1"/>
      <c r="K46" s="1"/>
      <c r="L46" s="1"/>
      <c r="M46" s="1"/>
      <c r="N46" s="1"/>
      <c r="O46" s="1"/>
      <c r="P46" s="1"/>
      <c r="Q46" s="1"/>
      <c r="R46" s="1"/>
      <c r="S46" s="1"/>
      <c r="T46" s="1"/>
      <c r="U46" s="1"/>
      <c r="V46" s="1"/>
      <c r="W46" s="1"/>
      <c r="X46" s="1"/>
      <c r="Y46" s="1"/>
    </row>
    <row r="47" spans="1:25" ht="14.25" customHeight="1">
      <c r="A47" s="1"/>
      <c r="B47" s="187" t="s">
        <v>49</v>
      </c>
      <c r="C47" s="176"/>
      <c r="D47" s="176"/>
      <c r="E47" s="176"/>
      <c r="F47" s="176"/>
      <c r="G47" s="177"/>
      <c r="H47" s="1"/>
      <c r="I47" s="1"/>
      <c r="J47" s="1"/>
      <c r="K47" s="1"/>
      <c r="L47" s="1"/>
      <c r="M47" s="1"/>
      <c r="N47" s="1"/>
      <c r="O47" s="1"/>
      <c r="P47" s="1"/>
      <c r="Q47" s="1"/>
      <c r="R47" s="1"/>
      <c r="S47" s="1"/>
      <c r="T47" s="1"/>
      <c r="U47" s="1"/>
      <c r="V47" s="1"/>
      <c r="W47" s="1"/>
      <c r="X47" s="1"/>
      <c r="Y47" s="1"/>
    </row>
    <row r="48" spans="1:25" ht="14.25" customHeight="1">
      <c r="A48" s="1"/>
      <c r="B48" s="175"/>
      <c r="C48" s="176"/>
      <c r="D48" s="176"/>
      <c r="E48" s="176"/>
      <c r="F48" s="176"/>
      <c r="G48" s="177"/>
      <c r="H48" s="1"/>
      <c r="I48" s="1"/>
      <c r="J48" s="1"/>
      <c r="K48" s="1"/>
      <c r="L48" s="1"/>
      <c r="M48" s="1"/>
      <c r="N48" s="1"/>
      <c r="O48" s="1"/>
      <c r="P48" s="1"/>
      <c r="Q48" s="1"/>
      <c r="R48" s="1"/>
      <c r="S48" s="1"/>
      <c r="T48" s="1"/>
      <c r="U48" s="1"/>
      <c r="V48" s="1"/>
      <c r="W48" s="1"/>
      <c r="X48" s="1"/>
      <c r="Y48" s="1"/>
    </row>
    <row r="49" spans="1:25" ht="14.25" customHeight="1">
      <c r="A49" s="1"/>
      <c r="B49" s="178"/>
      <c r="C49" s="179"/>
      <c r="D49" s="179"/>
      <c r="E49" s="179"/>
      <c r="F49" s="179"/>
      <c r="G49" s="180"/>
      <c r="H49" s="1"/>
      <c r="I49" s="1"/>
      <c r="J49" s="1"/>
      <c r="K49" s="1"/>
      <c r="L49" s="1"/>
      <c r="M49" s="1"/>
      <c r="N49" s="1"/>
      <c r="O49" s="1"/>
      <c r="P49" s="1"/>
      <c r="Q49" s="1"/>
      <c r="R49" s="1"/>
      <c r="S49" s="1"/>
      <c r="T49" s="1"/>
      <c r="U49" s="1"/>
      <c r="V49" s="1"/>
      <c r="W49" s="1"/>
      <c r="X49" s="1"/>
      <c r="Y49" s="1"/>
    </row>
    <row r="50" spans="1:25" ht="21.75" customHeight="1">
      <c r="B50" s="1"/>
      <c r="C50" s="1"/>
      <c r="D50" s="1"/>
      <c r="E50" s="1"/>
      <c r="F50" s="1"/>
      <c r="G50" s="1"/>
      <c r="H50" s="1"/>
      <c r="I50" s="1"/>
      <c r="J50" s="1"/>
      <c r="K50" s="1"/>
      <c r="L50" s="1"/>
      <c r="M50" s="1"/>
      <c r="N50" s="1"/>
      <c r="O50" s="1"/>
      <c r="P50" s="1"/>
      <c r="Q50" s="1"/>
      <c r="R50" s="1"/>
      <c r="S50" s="1"/>
      <c r="T50" s="1"/>
    </row>
    <row r="51" spans="1:25" ht="14.25" customHeight="1">
      <c r="A51" s="1"/>
      <c r="B51" s="190" t="s">
        <v>50</v>
      </c>
      <c r="C51" s="182"/>
      <c r="D51" s="182"/>
      <c r="E51" s="182"/>
      <c r="F51" s="183"/>
      <c r="G51" s="1"/>
      <c r="H51" s="1"/>
      <c r="I51" s="1"/>
      <c r="J51" s="1"/>
      <c r="K51" s="1"/>
      <c r="L51" s="1"/>
      <c r="M51" s="1"/>
      <c r="N51" s="1"/>
      <c r="O51" s="1"/>
      <c r="P51" s="1"/>
      <c r="Q51" s="1"/>
      <c r="R51" s="1"/>
      <c r="S51" s="1"/>
      <c r="T51" s="1"/>
    </row>
    <row r="52" spans="1:25" ht="14.25" customHeight="1">
      <c r="A52" s="1"/>
      <c r="B52" s="206" t="s">
        <v>51</v>
      </c>
      <c r="C52" s="173"/>
      <c r="D52" s="173"/>
      <c r="E52" s="173"/>
      <c r="F52" s="174"/>
      <c r="G52" s="1"/>
      <c r="H52" s="1"/>
      <c r="I52" s="1"/>
      <c r="J52" s="1"/>
      <c r="K52" s="1"/>
      <c r="L52" s="1"/>
      <c r="M52" s="1"/>
      <c r="N52" s="1"/>
      <c r="O52" s="1"/>
      <c r="P52" s="1"/>
      <c r="Q52" s="1"/>
      <c r="R52" s="1"/>
      <c r="S52" s="1"/>
      <c r="T52" s="1"/>
    </row>
    <row r="53" spans="1:25" ht="14.25" customHeight="1">
      <c r="A53" s="1"/>
      <c r="B53" s="175"/>
      <c r="C53" s="176"/>
      <c r="D53" s="176"/>
      <c r="E53" s="176"/>
      <c r="F53" s="177"/>
      <c r="G53" s="1"/>
      <c r="H53" s="1"/>
      <c r="I53" s="1"/>
      <c r="J53" s="1"/>
      <c r="K53" s="1"/>
      <c r="L53" s="1"/>
      <c r="M53" s="1"/>
      <c r="N53" s="1"/>
      <c r="O53" s="1"/>
      <c r="P53" s="1"/>
      <c r="Q53" s="1"/>
      <c r="R53" s="1"/>
      <c r="S53" s="1"/>
      <c r="T53" s="1"/>
    </row>
    <row r="54" spans="1:25" ht="14.25" customHeight="1">
      <c r="A54" s="1"/>
      <c r="B54" s="178"/>
      <c r="C54" s="179"/>
      <c r="D54" s="179"/>
      <c r="E54" s="179"/>
      <c r="F54" s="180"/>
      <c r="G54" s="1"/>
      <c r="H54" s="1"/>
      <c r="I54" s="1"/>
      <c r="J54" s="1"/>
      <c r="K54" s="1"/>
      <c r="L54" s="1"/>
      <c r="M54" s="1"/>
      <c r="N54" s="1"/>
      <c r="O54" s="1"/>
      <c r="P54" s="1"/>
      <c r="Q54" s="1"/>
      <c r="R54" s="1"/>
      <c r="S54" s="1"/>
      <c r="T54" s="1"/>
    </row>
    <row r="55" spans="1:25" ht="14.25" customHeight="1">
      <c r="A55" s="1"/>
      <c r="B55" s="192" t="s">
        <v>52</v>
      </c>
      <c r="C55" s="173"/>
      <c r="D55" s="173"/>
      <c r="E55" s="173"/>
      <c r="F55" s="174"/>
      <c r="G55" s="1"/>
      <c r="H55" s="1"/>
      <c r="I55" s="1"/>
      <c r="J55" s="1"/>
      <c r="K55" s="1"/>
      <c r="L55" s="1"/>
      <c r="M55" s="1"/>
      <c r="N55" s="1"/>
      <c r="O55" s="1"/>
      <c r="P55" s="1"/>
      <c r="Q55" s="1"/>
      <c r="R55" s="1"/>
      <c r="S55" s="1"/>
      <c r="T55" s="1"/>
    </row>
    <row r="56" spans="1:25" ht="14.25" customHeight="1">
      <c r="A56" s="1"/>
      <c r="B56" s="178"/>
      <c r="C56" s="179"/>
      <c r="D56" s="179"/>
      <c r="E56" s="179"/>
      <c r="F56" s="180"/>
      <c r="G56" s="1"/>
      <c r="H56" s="1"/>
      <c r="I56" s="1"/>
      <c r="J56" s="1"/>
      <c r="K56" s="1"/>
      <c r="L56" s="1"/>
      <c r="M56" s="1"/>
      <c r="N56" s="1"/>
      <c r="O56" s="1"/>
      <c r="P56" s="1"/>
      <c r="Q56" s="1"/>
      <c r="R56" s="1"/>
      <c r="S56" s="1"/>
      <c r="T56" s="1"/>
    </row>
    <row r="57" spans="1:25" ht="14.25" customHeight="1">
      <c r="A57" s="1"/>
      <c r="B57" s="191" t="s">
        <v>53</v>
      </c>
      <c r="C57" s="173"/>
      <c r="D57" s="173"/>
      <c r="E57" s="173"/>
      <c r="F57" s="174"/>
      <c r="G57" s="1"/>
      <c r="H57" s="1"/>
      <c r="I57" s="1"/>
      <c r="J57" s="1"/>
      <c r="K57" s="1"/>
      <c r="L57" s="1"/>
      <c r="M57" s="1"/>
      <c r="N57" s="1"/>
      <c r="O57" s="1"/>
      <c r="P57" s="1"/>
      <c r="Q57" s="1"/>
      <c r="R57" s="1"/>
      <c r="S57" s="1"/>
      <c r="T57" s="1"/>
    </row>
    <row r="58" spans="1:25" ht="14.25" customHeight="1">
      <c r="A58" s="1"/>
      <c r="B58" s="178"/>
      <c r="C58" s="179"/>
      <c r="D58" s="179"/>
      <c r="E58" s="179"/>
      <c r="F58" s="180"/>
      <c r="G58" s="1"/>
      <c r="H58" s="1"/>
      <c r="I58" s="1"/>
      <c r="J58" s="1"/>
      <c r="K58" s="1"/>
      <c r="L58" s="1"/>
      <c r="M58" s="1"/>
      <c r="N58" s="1"/>
      <c r="O58" s="1"/>
      <c r="P58" s="1"/>
      <c r="Q58" s="1"/>
      <c r="R58" s="1"/>
      <c r="S58" s="1"/>
      <c r="T58" s="1"/>
    </row>
    <row r="59" spans="1:25" ht="14.25" customHeight="1">
      <c r="A59" s="1"/>
      <c r="B59" s="192" t="s">
        <v>54</v>
      </c>
      <c r="C59" s="173"/>
      <c r="D59" s="173"/>
      <c r="E59" s="173"/>
      <c r="F59" s="174"/>
      <c r="G59" s="1"/>
      <c r="H59" s="1"/>
      <c r="I59" s="1"/>
      <c r="J59" s="1"/>
      <c r="K59" s="1"/>
      <c r="L59" s="1"/>
      <c r="M59" s="1"/>
      <c r="N59" s="1"/>
      <c r="O59" s="1"/>
      <c r="P59" s="1"/>
      <c r="Q59" s="1"/>
      <c r="R59" s="1"/>
      <c r="S59" s="1"/>
      <c r="T59" s="1"/>
    </row>
    <row r="60" spans="1:25" ht="14.25" customHeight="1">
      <c r="A60" s="1"/>
      <c r="B60" s="178"/>
      <c r="C60" s="179"/>
      <c r="D60" s="179"/>
      <c r="E60" s="179"/>
      <c r="F60" s="180"/>
      <c r="G60" s="1"/>
      <c r="H60" s="1"/>
      <c r="I60" s="1"/>
      <c r="J60" s="1"/>
      <c r="K60" s="1"/>
      <c r="L60" s="1"/>
      <c r="M60" s="1"/>
      <c r="N60" s="1"/>
      <c r="O60" s="1"/>
      <c r="P60" s="1"/>
      <c r="Q60" s="1"/>
      <c r="R60" s="1"/>
      <c r="S60" s="1"/>
      <c r="T60" s="1"/>
    </row>
    <row r="61" spans="1:25" ht="14.25" customHeight="1">
      <c r="A61" s="1"/>
      <c r="B61" s="191" t="s">
        <v>55</v>
      </c>
      <c r="C61" s="173"/>
      <c r="D61" s="173"/>
      <c r="E61" s="173"/>
      <c r="F61" s="174"/>
      <c r="G61" s="1"/>
      <c r="H61" s="1"/>
      <c r="I61" s="1"/>
      <c r="J61" s="1"/>
      <c r="K61" s="1"/>
      <c r="L61" s="1"/>
      <c r="M61" s="1"/>
      <c r="N61" s="1"/>
      <c r="O61" s="1"/>
      <c r="P61" s="1"/>
      <c r="Q61" s="1"/>
      <c r="R61" s="1"/>
      <c r="S61" s="1"/>
      <c r="T61" s="1"/>
    </row>
    <row r="62" spans="1:25" ht="14.25" customHeight="1">
      <c r="A62" s="1"/>
      <c r="B62" s="178"/>
      <c r="C62" s="179"/>
      <c r="D62" s="179"/>
      <c r="E62" s="179"/>
      <c r="F62" s="180"/>
      <c r="G62" s="1"/>
      <c r="H62" s="1"/>
      <c r="I62" s="1"/>
      <c r="J62" s="1"/>
      <c r="K62" s="1"/>
      <c r="L62" s="1"/>
      <c r="M62" s="1"/>
      <c r="N62" s="1"/>
      <c r="O62" s="1"/>
      <c r="P62" s="1"/>
      <c r="Q62" s="1"/>
      <c r="R62" s="1"/>
      <c r="S62" s="1"/>
      <c r="T62" s="1"/>
    </row>
    <row r="63" spans="1:25" ht="14.25" customHeight="1">
      <c r="A63" s="1"/>
      <c r="B63" s="191" t="s">
        <v>56</v>
      </c>
      <c r="C63" s="173"/>
      <c r="D63" s="173"/>
      <c r="E63" s="173"/>
      <c r="F63" s="174"/>
      <c r="G63" s="1"/>
      <c r="H63" s="1"/>
      <c r="I63" s="1"/>
      <c r="J63" s="1"/>
      <c r="K63" s="1"/>
      <c r="L63" s="1"/>
      <c r="M63" s="1"/>
      <c r="N63" s="1"/>
      <c r="O63" s="1"/>
      <c r="P63" s="1"/>
      <c r="Q63" s="1"/>
      <c r="R63" s="1"/>
      <c r="S63" s="1"/>
      <c r="T63" s="1"/>
    </row>
    <row r="64" spans="1:25" ht="14.25" customHeight="1">
      <c r="A64" s="1"/>
      <c r="B64" s="178"/>
      <c r="C64" s="179"/>
      <c r="D64" s="179"/>
      <c r="E64" s="179"/>
      <c r="F64" s="180"/>
      <c r="G64" s="1"/>
      <c r="H64" s="1"/>
      <c r="I64" s="1"/>
      <c r="J64" s="1"/>
      <c r="K64" s="1"/>
      <c r="L64" s="1"/>
      <c r="M64" s="1"/>
      <c r="N64" s="1"/>
      <c r="O64" s="1"/>
      <c r="P64" s="1"/>
      <c r="Q64" s="1"/>
      <c r="R64" s="1"/>
      <c r="S64" s="1"/>
      <c r="T64" s="1"/>
    </row>
    <row r="65" spans="1:20" ht="14.25" customHeight="1">
      <c r="A65" s="1"/>
      <c r="B65" s="191" t="s">
        <v>57</v>
      </c>
      <c r="C65" s="173"/>
      <c r="D65" s="173"/>
      <c r="E65" s="173"/>
      <c r="F65" s="174"/>
      <c r="G65" s="1"/>
      <c r="H65" s="1"/>
      <c r="I65" s="1"/>
      <c r="J65" s="1"/>
      <c r="K65" s="1"/>
      <c r="L65" s="1"/>
      <c r="M65" s="1"/>
      <c r="N65" s="1"/>
      <c r="O65" s="1"/>
      <c r="P65" s="1"/>
      <c r="Q65" s="1"/>
      <c r="R65" s="1"/>
      <c r="S65" s="1"/>
      <c r="T65" s="1"/>
    </row>
    <row r="66" spans="1:20" ht="14.25" customHeight="1">
      <c r="A66" s="1"/>
      <c r="B66" s="178"/>
      <c r="C66" s="179"/>
      <c r="D66" s="179"/>
      <c r="E66" s="179"/>
      <c r="F66" s="180"/>
      <c r="G66" s="1"/>
      <c r="H66" s="1"/>
      <c r="I66" s="1"/>
      <c r="J66" s="1"/>
      <c r="K66" s="1"/>
      <c r="L66" s="1"/>
      <c r="M66" s="1"/>
      <c r="N66" s="1"/>
      <c r="O66" s="1"/>
      <c r="P66" s="1"/>
      <c r="Q66" s="1"/>
      <c r="R66" s="1"/>
      <c r="S66" s="1"/>
      <c r="T66" s="1"/>
    </row>
    <row r="67" spans="1:20" ht="14.25" customHeight="1">
      <c r="A67" s="1"/>
      <c r="B67" s="191" t="s">
        <v>58</v>
      </c>
      <c r="C67" s="173"/>
      <c r="D67" s="173"/>
      <c r="E67" s="173"/>
      <c r="F67" s="174"/>
      <c r="G67" s="1"/>
      <c r="H67" s="1"/>
      <c r="I67" s="1"/>
      <c r="J67" s="1"/>
      <c r="K67" s="1"/>
      <c r="L67" s="1"/>
      <c r="M67" s="1"/>
      <c r="N67" s="1"/>
      <c r="O67" s="1"/>
      <c r="P67" s="1"/>
      <c r="Q67" s="1"/>
      <c r="R67" s="1"/>
      <c r="S67" s="1"/>
      <c r="T67" s="1"/>
    </row>
    <row r="68" spans="1:20" ht="14.25" customHeight="1">
      <c r="A68" s="1"/>
      <c r="B68" s="178"/>
      <c r="C68" s="179"/>
      <c r="D68" s="179"/>
      <c r="E68" s="179"/>
      <c r="F68" s="180"/>
      <c r="G68" s="1"/>
      <c r="H68" s="1"/>
      <c r="I68" s="1"/>
      <c r="J68" s="1"/>
      <c r="K68" s="1"/>
      <c r="L68" s="1"/>
      <c r="M68" s="1"/>
      <c r="N68" s="1"/>
      <c r="O68" s="1"/>
      <c r="P68" s="1"/>
      <c r="Q68" s="1"/>
      <c r="R68" s="1"/>
      <c r="S68" s="1"/>
      <c r="T68" s="1"/>
    </row>
    <row r="69" spans="1:20" ht="14.25" customHeight="1">
      <c r="A69" s="1"/>
      <c r="B69" s="192" t="s">
        <v>59</v>
      </c>
      <c r="C69" s="173"/>
      <c r="D69" s="173"/>
      <c r="E69" s="173"/>
      <c r="F69" s="174"/>
      <c r="G69" s="1"/>
      <c r="H69" s="1"/>
      <c r="I69" s="1"/>
      <c r="J69" s="1"/>
      <c r="K69" s="1"/>
      <c r="L69" s="1"/>
      <c r="M69" s="1"/>
      <c r="N69" s="1"/>
      <c r="O69" s="1"/>
      <c r="P69" s="1"/>
      <c r="Q69" s="1"/>
      <c r="R69" s="1"/>
      <c r="S69" s="1"/>
      <c r="T69" s="1"/>
    </row>
    <row r="70" spans="1:20" ht="14.25" customHeight="1">
      <c r="A70" s="1"/>
      <c r="B70" s="178"/>
      <c r="C70" s="179"/>
      <c r="D70" s="179"/>
      <c r="E70" s="179"/>
      <c r="F70" s="180"/>
      <c r="G70" s="1"/>
      <c r="H70" s="1"/>
      <c r="I70" s="1"/>
      <c r="J70" s="1"/>
      <c r="K70" s="1"/>
      <c r="L70" s="1"/>
      <c r="M70" s="1"/>
      <c r="N70" s="1"/>
      <c r="O70" s="1"/>
      <c r="P70" s="1"/>
      <c r="Q70" s="1"/>
      <c r="R70" s="1"/>
      <c r="S70" s="1"/>
      <c r="T70" s="1"/>
    </row>
    <row r="71" spans="1:20" ht="14.25" customHeight="1">
      <c r="A71" s="1"/>
      <c r="B71" s="191" t="s">
        <v>60</v>
      </c>
      <c r="C71" s="173"/>
      <c r="D71" s="173"/>
      <c r="E71" s="173"/>
      <c r="F71" s="174"/>
      <c r="G71" s="1"/>
      <c r="H71" s="1"/>
      <c r="I71" s="1"/>
      <c r="J71" s="1"/>
      <c r="K71" s="1"/>
      <c r="L71" s="1"/>
      <c r="M71" s="1"/>
      <c r="N71" s="1"/>
      <c r="O71" s="1"/>
      <c r="P71" s="1"/>
      <c r="Q71" s="1"/>
      <c r="R71" s="1"/>
      <c r="S71" s="1"/>
      <c r="T71" s="1"/>
    </row>
    <row r="72" spans="1:20" ht="14.25" customHeight="1">
      <c r="A72" s="1"/>
      <c r="B72" s="178"/>
      <c r="C72" s="179"/>
      <c r="D72" s="179"/>
      <c r="E72" s="179"/>
      <c r="F72" s="180"/>
      <c r="G72" s="1"/>
      <c r="H72" s="1"/>
      <c r="I72" s="1"/>
      <c r="J72" s="1"/>
      <c r="K72" s="1"/>
      <c r="L72" s="1"/>
      <c r="M72" s="1"/>
      <c r="N72" s="1"/>
      <c r="O72" s="1"/>
      <c r="P72" s="1"/>
      <c r="Q72" s="1"/>
      <c r="R72" s="1"/>
      <c r="S72" s="1"/>
      <c r="T72" s="1"/>
    </row>
    <row r="73" spans="1:20" ht="14.25" customHeight="1">
      <c r="A73" s="1"/>
      <c r="B73" s="193" t="s">
        <v>61</v>
      </c>
      <c r="C73" s="173"/>
      <c r="D73" s="173"/>
      <c r="E73" s="173"/>
      <c r="F73" s="174"/>
      <c r="G73" s="1"/>
      <c r="H73" s="1"/>
      <c r="I73" s="1"/>
      <c r="J73" s="1"/>
      <c r="K73" s="1"/>
      <c r="L73" s="1"/>
      <c r="M73" s="1"/>
      <c r="N73" s="1"/>
      <c r="O73" s="1"/>
      <c r="P73" s="1"/>
      <c r="Q73" s="1"/>
      <c r="R73" s="1"/>
      <c r="S73" s="1"/>
      <c r="T73" s="1"/>
    </row>
    <row r="74" spans="1:20" ht="14.25" customHeight="1">
      <c r="A74" s="1"/>
      <c r="B74" s="178"/>
      <c r="C74" s="179"/>
      <c r="D74" s="179"/>
      <c r="E74" s="179"/>
      <c r="F74" s="180"/>
      <c r="G74" s="1"/>
      <c r="H74" s="1"/>
      <c r="I74" s="1"/>
      <c r="J74" s="1"/>
      <c r="K74" s="1"/>
      <c r="L74" s="1"/>
      <c r="M74" s="1"/>
      <c r="N74" s="1"/>
      <c r="O74" s="1"/>
      <c r="P74" s="1"/>
      <c r="Q74" s="1"/>
      <c r="R74" s="1"/>
      <c r="S74" s="1"/>
      <c r="T74" s="1"/>
    </row>
    <row r="75" spans="1:20" ht="14.25" customHeight="1">
      <c r="A75" s="1"/>
      <c r="B75" s="193" t="s">
        <v>62</v>
      </c>
      <c r="C75" s="173"/>
      <c r="D75" s="173"/>
      <c r="E75" s="173"/>
      <c r="F75" s="174"/>
      <c r="G75" s="1"/>
      <c r="H75" s="1"/>
      <c r="I75" s="1"/>
      <c r="J75" s="1"/>
      <c r="K75" s="1"/>
      <c r="L75" s="1"/>
      <c r="M75" s="1"/>
      <c r="N75" s="1"/>
      <c r="O75" s="1"/>
      <c r="P75" s="1"/>
      <c r="Q75" s="1"/>
      <c r="R75" s="1"/>
      <c r="S75" s="1"/>
      <c r="T75" s="1"/>
    </row>
    <row r="76" spans="1:20" ht="14.25" customHeight="1">
      <c r="A76" s="1"/>
      <c r="B76" s="178"/>
      <c r="C76" s="179"/>
      <c r="D76" s="179"/>
      <c r="E76" s="179"/>
      <c r="F76" s="180"/>
      <c r="G76" s="1"/>
      <c r="H76" s="1"/>
      <c r="I76" s="1"/>
      <c r="J76" s="1"/>
      <c r="K76" s="1"/>
      <c r="L76" s="1"/>
      <c r="M76" s="1"/>
      <c r="N76" s="1"/>
      <c r="O76" s="1"/>
      <c r="P76" s="1"/>
      <c r="Q76" s="1"/>
      <c r="R76" s="1"/>
      <c r="S76" s="1"/>
      <c r="T76" s="1"/>
    </row>
    <row r="77" spans="1:20" ht="14.25" customHeight="1">
      <c r="A77" s="1"/>
      <c r="B77" s="193" t="s">
        <v>63</v>
      </c>
      <c r="C77" s="173"/>
      <c r="D77" s="173"/>
      <c r="E77" s="173"/>
      <c r="F77" s="174"/>
      <c r="G77" s="1"/>
      <c r="H77" s="1"/>
      <c r="I77" s="1"/>
      <c r="J77" s="1"/>
      <c r="K77" s="1"/>
      <c r="L77" s="1"/>
      <c r="M77" s="1"/>
      <c r="N77" s="1"/>
      <c r="O77" s="1"/>
      <c r="P77" s="1"/>
      <c r="Q77" s="1"/>
      <c r="R77" s="1"/>
      <c r="S77" s="1"/>
      <c r="T77" s="1"/>
    </row>
    <row r="78" spans="1:20" ht="14.25" customHeight="1">
      <c r="A78" s="1"/>
      <c r="B78" s="178"/>
      <c r="C78" s="179"/>
      <c r="D78" s="179"/>
      <c r="E78" s="179"/>
      <c r="F78" s="180"/>
      <c r="G78" s="1"/>
      <c r="H78" s="1"/>
      <c r="I78" s="1"/>
      <c r="J78" s="1"/>
      <c r="K78" s="1"/>
      <c r="L78" s="1"/>
      <c r="M78" s="1"/>
      <c r="N78" s="1"/>
      <c r="O78" s="1"/>
      <c r="P78" s="1"/>
      <c r="Q78" s="1"/>
      <c r="R78" s="1"/>
      <c r="S78" s="1"/>
      <c r="T78" s="1"/>
    </row>
    <row r="79" spans="1:20" ht="14.25" customHeight="1">
      <c r="A79" s="1"/>
      <c r="B79" s="193" t="s">
        <v>64</v>
      </c>
      <c r="C79" s="173"/>
      <c r="D79" s="173"/>
      <c r="E79" s="173"/>
      <c r="F79" s="174"/>
      <c r="G79" s="1"/>
      <c r="H79" s="1"/>
      <c r="I79" s="1"/>
      <c r="J79" s="1"/>
      <c r="K79" s="1"/>
      <c r="L79" s="1"/>
      <c r="M79" s="1"/>
      <c r="N79" s="1"/>
      <c r="O79" s="1"/>
      <c r="P79" s="1"/>
      <c r="Q79" s="1"/>
      <c r="R79" s="1"/>
      <c r="S79" s="1"/>
      <c r="T79" s="1"/>
    </row>
    <row r="80" spans="1:20" ht="14.25" customHeight="1">
      <c r="A80" s="1"/>
      <c r="B80" s="178"/>
      <c r="C80" s="179"/>
      <c r="D80" s="179"/>
      <c r="E80" s="179"/>
      <c r="F80" s="180"/>
      <c r="G80" s="1"/>
      <c r="H80" s="1"/>
      <c r="I80" s="1"/>
      <c r="J80" s="1"/>
      <c r="K80" s="1"/>
      <c r="L80" s="1"/>
      <c r="M80" s="1"/>
      <c r="N80" s="1"/>
      <c r="O80" s="1"/>
      <c r="P80" s="1"/>
      <c r="Q80" s="1"/>
      <c r="R80" s="1"/>
      <c r="S80" s="1"/>
      <c r="T80" s="1"/>
    </row>
    <row r="81" spans="1:25" ht="14.25" customHeight="1">
      <c r="A81" s="1"/>
      <c r="B81" s="193" t="s">
        <v>65</v>
      </c>
      <c r="C81" s="173"/>
      <c r="D81" s="173"/>
      <c r="E81" s="173"/>
      <c r="F81" s="174"/>
      <c r="G81" s="1"/>
      <c r="H81" s="1"/>
      <c r="I81" s="1"/>
      <c r="J81" s="1"/>
      <c r="K81" s="1"/>
      <c r="L81" s="1"/>
      <c r="M81" s="1"/>
      <c r="N81" s="1"/>
      <c r="O81" s="1"/>
      <c r="P81" s="1"/>
      <c r="Q81" s="1"/>
      <c r="R81" s="1"/>
      <c r="S81" s="1"/>
      <c r="T81" s="1"/>
    </row>
    <row r="82" spans="1:25" ht="14.25" customHeight="1">
      <c r="A82" s="1"/>
      <c r="B82" s="178"/>
      <c r="C82" s="179"/>
      <c r="D82" s="179"/>
      <c r="E82" s="179"/>
      <c r="F82" s="180"/>
      <c r="G82" s="1"/>
      <c r="H82" s="1"/>
      <c r="I82" s="1"/>
      <c r="J82" s="1"/>
      <c r="K82" s="1"/>
      <c r="L82" s="1"/>
      <c r="M82" s="1"/>
      <c r="N82" s="1"/>
      <c r="O82" s="1"/>
      <c r="P82" s="1"/>
      <c r="Q82" s="1"/>
      <c r="R82" s="1"/>
      <c r="S82" s="1"/>
      <c r="T82" s="1"/>
    </row>
    <row r="83" spans="1:25" ht="14.25" customHeight="1">
      <c r="A83" s="1"/>
      <c r="B83" s="193" t="s">
        <v>66</v>
      </c>
      <c r="C83" s="173"/>
      <c r="D83" s="173"/>
      <c r="E83" s="173"/>
      <c r="F83" s="174"/>
      <c r="G83" s="1"/>
      <c r="H83" s="1"/>
      <c r="I83" s="1"/>
      <c r="J83" s="1"/>
      <c r="K83" s="1"/>
      <c r="L83" s="1"/>
      <c r="M83" s="1"/>
      <c r="N83" s="1"/>
      <c r="O83" s="1"/>
      <c r="P83" s="1"/>
      <c r="Q83" s="1"/>
      <c r="R83" s="1"/>
      <c r="S83" s="1"/>
      <c r="T83" s="1"/>
    </row>
    <row r="84" spans="1:25" ht="14.25" customHeight="1">
      <c r="A84" s="1"/>
      <c r="B84" s="178"/>
      <c r="C84" s="179"/>
      <c r="D84" s="179"/>
      <c r="E84" s="179"/>
      <c r="F84" s="180"/>
      <c r="G84" s="1"/>
      <c r="H84" s="1"/>
      <c r="I84" s="1"/>
      <c r="J84" s="1"/>
      <c r="K84" s="1"/>
      <c r="L84" s="1"/>
      <c r="M84" s="1"/>
      <c r="N84" s="1"/>
      <c r="O84" s="1"/>
      <c r="P84" s="1"/>
      <c r="Q84" s="1"/>
      <c r="R84" s="1"/>
      <c r="S84" s="1"/>
      <c r="T84" s="1"/>
    </row>
    <row r="85" spans="1:25" ht="14.25" customHeight="1">
      <c r="A85" s="1"/>
      <c r="B85" s="1"/>
      <c r="C85" s="1"/>
      <c r="D85" s="1"/>
      <c r="E85" s="1"/>
      <c r="F85" s="1"/>
      <c r="G85" s="1"/>
      <c r="H85" s="1"/>
      <c r="I85" s="1"/>
      <c r="J85" s="1"/>
      <c r="K85" s="1"/>
      <c r="L85" s="1"/>
      <c r="M85" s="1"/>
      <c r="N85" s="1"/>
      <c r="O85" s="1"/>
      <c r="P85" s="1"/>
      <c r="Q85" s="1"/>
      <c r="R85" s="1"/>
      <c r="S85" s="1"/>
      <c r="T85" s="1"/>
    </row>
    <row r="86" spans="1:25" ht="14.25" customHeight="1">
      <c r="A86" s="1"/>
      <c r="B86" s="194" t="s">
        <v>9</v>
      </c>
      <c r="C86" s="182"/>
      <c r="D86" s="182"/>
      <c r="E86" s="182"/>
      <c r="F86" s="183"/>
      <c r="G86" s="1"/>
      <c r="H86" s="1"/>
      <c r="I86" s="1"/>
      <c r="J86" s="1"/>
      <c r="K86" s="1"/>
      <c r="L86" s="1"/>
      <c r="M86" s="1"/>
      <c r="N86" s="1"/>
      <c r="O86" s="1"/>
      <c r="P86" s="1"/>
      <c r="Q86" s="1"/>
      <c r="R86" s="1"/>
      <c r="S86" s="1"/>
      <c r="T86" s="1"/>
    </row>
    <row r="87" spans="1:25" ht="14.25" customHeight="1">
      <c r="A87" s="1"/>
      <c r="B87" s="195" t="s">
        <v>67</v>
      </c>
      <c r="C87" s="173"/>
      <c r="D87" s="173"/>
      <c r="E87" s="173"/>
      <c r="F87" s="174"/>
      <c r="G87" s="1"/>
      <c r="H87" s="1"/>
      <c r="I87" s="1"/>
      <c r="J87" s="1"/>
      <c r="K87" s="1"/>
      <c r="L87" s="1"/>
      <c r="M87" s="1"/>
      <c r="N87" s="1"/>
      <c r="O87" s="1"/>
      <c r="P87" s="1"/>
      <c r="Q87" s="1"/>
      <c r="R87" s="1"/>
      <c r="S87" s="1"/>
      <c r="T87" s="1"/>
    </row>
    <row r="88" spans="1:25" ht="14.25" customHeight="1">
      <c r="A88" s="1"/>
      <c r="B88" s="175"/>
      <c r="C88" s="176"/>
      <c r="D88" s="176"/>
      <c r="E88" s="176"/>
      <c r="F88" s="177"/>
      <c r="G88" s="1"/>
      <c r="H88" s="1"/>
      <c r="I88" s="1"/>
      <c r="J88" s="1"/>
      <c r="K88" s="1"/>
      <c r="L88" s="1"/>
      <c r="M88" s="1"/>
      <c r="N88" s="1"/>
      <c r="O88" s="1"/>
      <c r="P88" s="1"/>
      <c r="Q88" s="1"/>
      <c r="R88" s="1"/>
      <c r="S88" s="1"/>
      <c r="T88" s="1"/>
    </row>
    <row r="89" spans="1:25" ht="14.25" customHeight="1">
      <c r="A89" s="1"/>
      <c r="B89" s="175"/>
      <c r="C89" s="176"/>
      <c r="D89" s="176"/>
      <c r="E89" s="176"/>
      <c r="F89" s="177"/>
      <c r="G89" s="1"/>
      <c r="H89" s="1"/>
      <c r="I89" s="1"/>
      <c r="J89" s="1"/>
      <c r="K89" s="1"/>
      <c r="L89" s="1"/>
      <c r="M89" s="1"/>
      <c r="N89" s="1"/>
      <c r="O89" s="1"/>
      <c r="P89" s="1"/>
      <c r="Q89" s="1"/>
      <c r="R89" s="1"/>
      <c r="S89" s="1"/>
      <c r="T89" s="1"/>
    </row>
    <row r="90" spans="1:25" ht="14.25" customHeight="1">
      <c r="A90" s="1"/>
      <c r="B90" s="175"/>
      <c r="C90" s="176"/>
      <c r="D90" s="176"/>
      <c r="E90" s="176"/>
      <c r="F90" s="177"/>
      <c r="G90" s="1"/>
      <c r="H90" s="1"/>
      <c r="I90" s="1"/>
      <c r="J90" s="1"/>
      <c r="K90" s="1"/>
      <c r="L90" s="1"/>
      <c r="M90" s="1"/>
      <c r="N90" s="1"/>
      <c r="O90" s="1"/>
      <c r="P90" s="1"/>
      <c r="Q90" s="1"/>
      <c r="R90" s="1"/>
      <c r="S90" s="1"/>
      <c r="T90" s="1"/>
    </row>
    <row r="91" spans="1:25" ht="14.25" customHeight="1">
      <c r="A91" s="1"/>
      <c r="B91" s="175"/>
      <c r="C91" s="176"/>
      <c r="D91" s="176"/>
      <c r="E91" s="176"/>
      <c r="F91" s="177"/>
      <c r="G91" s="1"/>
      <c r="H91" s="1"/>
      <c r="I91" s="1"/>
      <c r="J91" s="1"/>
      <c r="K91" s="1"/>
      <c r="L91" s="1"/>
      <c r="M91" s="1"/>
      <c r="N91" s="1"/>
      <c r="O91" s="1"/>
      <c r="P91" s="1"/>
      <c r="Q91" s="1"/>
      <c r="R91" s="1"/>
      <c r="S91" s="1"/>
      <c r="T91" s="1"/>
      <c r="U91" s="1"/>
      <c r="V91" s="1"/>
      <c r="W91" s="1"/>
      <c r="X91" s="1"/>
      <c r="Y91" s="1"/>
    </row>
    <row r="92" spans="1:25" ht="14.25" customHeight="1">
      <c r="A92" s="1"/>
      <c r="B92" s="175"/>
      <c r="C92" s="176"/>
      <c r="D92" s="176"/>
      <c r="E92" s="176"/>
      <c r="F92" s="177"/>
      <c r="G92" s="1"/>
      <c r="H92" s="1"/>
      <c r="I92" s="1"/>
      <c r="J92" s="1"/>
      <c r="K92" s="1"/>
      <c r="L92" s="1"/>
      <c r="M92" s="1"/>
      <c r="N92" s="1"/>
      <c r="O92" s="1"/>
      <c r="P92" s="1"/>
      <c r="Q92" s="1"/>
      <c r="R92" s="1"/>
      <c r="S92" s="1"/>
      <c r="T92" s="1"/>
      <c r="U92" s="1"/>
      <c r="V92" s="1"/>
      <c r="W92" s="1"/>
      <c r="X92" s="1"/>
      <c r="Y92" s="1"/>
    </row>
    <row r="93" spans="1:25" ht="30" customHeight="1">
      <c r="B93" s="175"/>
      <c r="C93" s="176"/>
      <c r="D93" s="176"/>
      <c r="E93" s="176"/>
      <c r="F93" s="177"/>
      <c r="G93" s="1"/>
      <c r="H93" s="1"/>
      <c r="I93" s="1"/>
      <c r="J93" s="1"/>
      <c r="K93" s="1"/>
      <c r="L93" s="1"/>
      <c r="M93" s="1"/>
      <c r="N93" s="1"/>
      <c r="O93" s="1"/>
      <c r="P93" s="1"/>
      <c r="Q93" s="1"/>
      <c r="R93" s="1"/>
      <c r="S93" s="1"/>
      <c r="T93" s="1"/>
      <c r="U93" s="1"/>
      <c r="V93" s="1"/>
      <c r="W93" s="1"/>
      <c r="X93" s="1"/>
      <c r="Y93" s="1"/>
    </row>
    <row r="94" spans="1:25" ht="14.25" customHeight="1">
      <c r="A94" s="1"/>
      <c r="B94" s="175"/>
      <c r="C94" s="176"/>
      <c r="D94" s="176"/>
      <c r="E94" s="176"/>
      <c r="F94" s="177"/>
      <c r="G94" s="1"/>
      <c r="H94" s="1"/>
      <c r="I94" s="1"/>
      <c r="J94" s="1"/>
      <c r="K94" s="1"/>
      <c r="L94" s="1"/>
      <c r="M94" s="1"/>
      <c r="N94" s="1"/>
      <c r="O94" s="1"/>
      <c r="P94" s="1"/>
      <c r="Q94" s="1"/>
      <c r="R94" s="1"/>
      <c r="S94" s="1"/>
      <c r="T94" s="1"/>
      <c r="U94" s="1"/>
      <c r="V94" s="1"/>
      <c r="W94" s="1"/>
      <c r="X94" s="1"/>
      <c r="Y94" s="1"/>
    </row>
    <row r="95" spans="1:25" ht="14.25" customHeight="1">
      <c r="A95" s="1"/>
      <c r="B95" s="175"/>
      <c r="C95" s="176"/>
      <c r="D95" s="176"/>
      <c r="E95" s="176"/>
      <c r="F95" s="177"/>
      <c r="G95" s="1"/>
      <c r="H95" s="1"/>
      <c r="I95" s="1"/>
      <c r="J95" s="1"/>
      <c r="K95" s="1"/>
      <c r="L95" s="1"/>
      <c r="M95" s="1"/>
      <c r="N95" s="1"/>
      <c r="O95" s="1"/>
      <c r="P95" s="1"/>
      <c r="Q95" s="1"/>
      <c r="R95" s="1"/>
      <c r="S95" s="1"/>
      <c r="T95" s="1"/>
      <c r="U95" s="1"/>
      <c r="V95" s="1"/>
      <c r="W95" s="1"/>
      <c r="X95" s="1"/>
      <c r="Y95" s="1"/>
    </row>
    <row r="96" spans="1:25" ht="14.25" customHeight="1">
      <c r="A96" s="1"/>
      <c r="B96" s="175"/>
      <c r="C96" s="176"/>
      <c r="D96" s="176"/>
      <c r="E96" s="176"/>
      <c r="F96" s="177"/>
      <c r="G96" s="1"/>
      <c r="H96" s="1"/>
      <c r="I96" s="1"/>
      <c r="J96" s="1"/>
      <c r="K96" s="1"/>
      <c r="L96" s="1"/>
      <c r="M96" s="1"/>
      <c r="N96" s="1"/>
      <c r="O96" s="1"/>
      <c r="P96" s="1"/>
      <c r="Q96" s="1"/>
      <c r="R96" s="1"/>
      <c r="S96" s="1"/>
      <c r="T96" s="1"/>
      <c r="U96" s="1"/>
      <c r="V96" s="1"/>
      <c r="W96" s="1"/>
      <c r="X96" s="1"/>
      <c r="Y96" s="1"/>
    </row>
    <row r="97" spans="1:25" ht="14.25" customHeight="1">
      <c r="A97" s="1"/>
      <c r="B97" s="175"/>
      <c r="C97" s="176"/>
      <c r="D97" s="176"/>
      <c r="E97" s="176"/>
      <c r="F97" s="177"/>
      <c r="G97" s="1"/>
      <c r="H97" s="1"/>
      <c r="I97" s="1"/>
      <c r="J97" s="1"/>
      <c r="K97" s="1"/>
      <c r="L97" s="1"/>
      <c r="M97" s="1"/>
      <c r="N97" s="1"/>
      <c r="O97" s="1"/>
      <c r="P97" s="1"/>
      <c r="Q97" s="1"/>
      <c r="R97" s="1"/>
      <c r="S97" s="1"/>
      <c r="T97" s="1"/>
      <c r="U97" s="1"/>
      <c r="V97" s="1"/>
      <c r="W97" s="1"/>
      <c r="X97" s="1"/>
      <c r="Y97" s="1"/>
    </row>
    <row r="98" spans="1:25" ht="14.25" customHeight="1">
      <c r="A98" s="1"/>
      <c r="B98" s="175"/>
      <c r="C98" s="176"/>
      <c r="D98" s="176"/>
      <c r="E98" s="176"/>
      <c r="F98" s="177"/>
      <c r="G98" s="1"/>
      <c r="H98" s="1"/>
      <c r="I98" s="1"/>
      <c r="J98" s="1"/>
      <c r="K98" s="1"/>
      <c r="L98" s="1"/>
      <c r="M98" s="1"/>
      <c r="N98" s="1"/>
      <c r="O98" s="1"/>
      <c r="P98" s="1"/>
      <c r="Q98" s="1"/>
      <c r="R98" s="1"/>
      <c r="S98" s="1"/>
      <c r="T98" s="1"/>
      <c r="U98" s="1"/>
      <c r="V98" s="1"/>
      <c r="W98" s="1"/>
      <c r="X98" s="1"/>
      <c r="Y98" s="1"/>
    </row>
    <row r="99" spans="1:25" ht="14.25" customHeight="1">
      <c r="A99" s="1"/>
      <c r="B99" s="175"/>
      <c r="C99" s="176"/>
      <c r="D99" s="176"/>
      <c r="E99" s="176"/>
      <c r="F99" s="177"/>
      <c r="G99" s="1"/>
      <c r="H99" s="1"/>
      <c r="I99" s="1"/>
      <c r="J99" s="1"/>
      <c r="K99" s="1"/>
      <c r="L99" s="1"/>
      <c r="M99" s="1"/>
      <c r="N99" s="1"/>
      <c r="O99" s="1"/>
      <c r="P99" s="1"/>
      <c r="Q99" s="1"/>
      <c r="R99" s="1"/>
      <c r="S99" s="1"/>
      <c r="T99" s="1"/>
      <c r="U99" s="1"/>
      <c r="V99" s="1"/>
      <c r="W99" s="1"/>
      <c r="X99" s="1"/>
      <c r="Y99" s="1"/>
    </row>
    <row r="100" spans="1:25" ht="14.25" customHeight="1">
      <c r="A100" s="1"/>
      <c r="B100" s="175"/>
      <c r="C100" s="176"/>
      <c r="D100" s="176"/>
      <c r="E100" s="176"/>
      <c r="F100" s="177"/>
      <c r="G100" s="1"/>
      <c r="H100" s="1"/>
      <c r="I100" s="1"/>
      <c r="J100" s="1"/>
      <c r="K100" s="1"/>
      <c r="L100" s="1"/>
      <c r="M100" s="1"/>
      <c r="N100" s="1"/>
      <c r="O100" s="1"/>
      <c r="P100" s="1"/>
      <c r="Q100" s="1"/>
      <c r="R100" s="1"/>
      <c r="S100" s="1"/>
      <c r="T100" s="1"/>
      <c r="U100" s="1"/>
      <c r="V100" s="1"/>
      <c r="W100" s="1"/>
      <c r="X100" s="1"/>
      <c r="Y100" s="1"/>
    </row>
    <row r="101" spans="1:25" ht="14.25" customHeight="1">
      <c r="A101" s="1"/>
      <c r="B101" s="175"/>
      <c r="C101" s="176"/>
      <c r="D101" s="176"/>
      <c r="E101" s="176"/>
      <c r="F101" s="177"/>
      <c r="G101" s="1"/>
      <c r="H101" s="1"/>
      <c r="I101" s="1"/>
      <c r="J101" s="1"/>
      <c r="K101" s="1"/>
      <c r="L101" s="1"/>
      <c r="M101" s="1"/>
      <c r="N101" s="1"/>
      <c r="O101" s="1"/>
      <c r="P101" s="1"/>
      <c r="Q101" s="1"/>
      <c r="R101" s="1"/>
      <c r="S101" s="1"/>
      <c r="T101" s="1"/>
      <c r="U101" s="1"/>
      <c r="V101" s="1"/>
      <c r="W101" s="1"/>
      <c r="X101" s="1"/>
      <c r="Y101" s="1"/>
    </row>
    <row r="102" spans="1:25" ht="14.25" customHeight="1">
      <c r="A102" s="1"/>
      <c r="B102" s="175"/>
      <c r="C102" s="176"/>
      <c r="D102" s="176"/>
      <c r="E102" s="176"/>
      <c r="F102" s="177"/>
      <c r="G102" s="1"/>
      <c r="H102" s="1"/>
      <c r="I102" s="1"/>
      <c r="J102" s="1"/>
      <c r="K102" s="1"/>
      <c r="L102" s="1"/>
      <c r="M102" s="1"/>
      <c r="N102" s="1"/>
      <c r="O102" s="1"/>
      <c r="P102" s="1"/>
      <c r="Q102" s="1"/>
      <c r="R102" s="1"/>
      <c r="S102" s="1"/>
      <c r="T102" s="1"/>
      <c r="U102" s="1"/>
      <c r="V102" s="1"/>
      <c r="W102" s="1"/>
      <c r="X102" s="1"/>
      <c r="Y102" s="1"/>
    </row>
    <row r="103" spans="1:25" ht="14.25" customHeight="1">
      <c r="A103" s="1"/>
      <c r="B103" s="175"/>
      <c r="C103" s="176"/>
      <c r="D103" s="176"/>
      <c r="E103" s="176"/>
      <c r="F103" s="177"/>
      <c r="G103" s="1"/>
      <c r="H103" s="1"/>
      <c r="I103" s="1"/>
      <c r="J103" s="1"/>
      <c r="K103" s="1"/>
      <c r="L103" s="1"/>
      <c r="M103" s="1"/>
      <c r="N103" s="1"/>
      <c r="O103" s="1"/>
      <c r="P103" s="1"/>
      <c r="Q103" s="1"/>
      <c r="R103" s="1"/>
      <c r="S103" s="1"/>
      <c r="T103" s="1"/>
      <c r="U103" s="1"/>
      <c r="V103" s="1"/>
      <c r="W103" s="1"/>
      <c r="X103" s="1"/>
      <c r="Y103" s="1"/>
    </row>
    <row r="104" spans="1:25" ht="14.25" customHeight="1">
      <c r="A104" s="1"/>
      <c r="B104" s="175"/>
      <c r="C104" s="176"/>
      <c r="D104" s="176"/>
      <c r="E104" s="176"/>
      <c r="F104" s="177"/>
      <c r="G104" s="1"/>
      <c r="H104" s="1"/>
      <c r="I104" s="1"/>
      <c r="J104" s="1"/>
      <c r="K104" s="1"/>
      <c r="L104" s="1"/>
      <c r="M104" s="1"/>
      <c r="N104" s="1"/>
      <c r="O104" s="1"/>
      <c r="P104" s="1"/>
      <c r="Q104" s="1"/>
      <c r="R104" s="1"/>
      <c r="S104" s="1"/>
      <c r="T104" s="1"/>
      <c r="U104" s="1"/>
      <c r="V104" s="1"/>
      <c r="W104" s="1"/>
      <c r="X104" s="1"/>
      <c r="Y104" s="1"/>
    </row>
    <row r="105" spans="1:25" ht="14.25" customHeight="1">
      <c r="A105" s="1"/>
      <c r="B105" s="178"/>
      <c r="C105" s="179"/>
      <c r="D105" s="179"/>
      <c r="E105" s="179"/>
      <c r="F105" s="180"/>
      <c r="G105" s="1"/>
      <c r="H105" s="1"/>
      <c r="I105" s="1"/>
      <c r="J105" s="1"/>
      <c r="K105" s="1"/>
      <c r="L105" s="1"/>
      <c r="M105" s="1"/>
      <c r="N105" s="1"/>
      <c r="O105" s="1"/>
      <c r="P105" s="1"/>
      <c r="Q105" s="1"/>
      <c r="R105" s="1"/>
      <c r="S105" s="1"/>
      <c r="T105" s="1"/>
      <c r="U105" s="1"/>
      <c r="V105" s="1"/>
      <c r="W105" s="1"/>
      <c r="X105" s="1"/>
      <c r="Y105" s="1"/>
    </row>
    <row r="106" spans="1:25" ht="14.25" customHeight="1">
      <c r="A106" s="1"/>
      <c r="B106" s="193" t="s">
        <v>68</v>
      </c>
      <c r="C106" s="173"/>
      <c r="D106" s="173"/>
      <c r="E106" s="173"/>
      <c r="F106" s="174"/>
      <c r="G106" s="1"/>
      <c r="H106" s="1"/>
      <c r="I106" s="1"/>
      <c r="J106" s="1"/>
      <c r="K106" s="1"/>
      <c r="L106" s="1"/>
      <c r="M106" s="1"/>
      <c r="N106" s="1"/>
      <c r="O106" s="1"/>
      <c r="P106" s="1"/>
      <c r="Q106" s="1"/>
      <c r="R106" s="1"/>
      <c r="S106" s="1"/>
      <c r="T106" s="1"/>
      <c r="U106" s="1"/>
      <c r="V106" s="1"/>
      <c r="W106" s="1"/>
      <c r="X106" s="1"/>
      <c r="Y106" s="1"/>
    </row>
    <row r="107" spans="1:25" ht="14.25" customHeight="1">
      <c r="A107" s="1"/>
      <c r="B107" s="178"/>
      <c r="C107" s="179"/>
      <c r="D107" s="179"/>
      <c r="E107" s="179"/>
      <c r="F107" s="180"/>
      <c r="G107" s="1"/>
      <c r="H107" s="1"/>
      <c r="I107" s="1"/>
      <c r="J107" s="1"/>
      <c r="K107" s="1"/>
      <c r="L107" s="1"/>
      <c r="M107" s="1"/>
      <c r="N107" s="1"/>
      <c r="O107" s="1"/>
      <c r="P107" s="1"/>
      <c r="Q107" s="1"/>
      <c r="R107" s="1"/>
      <c r="S107" s="1"/>
      <c r="T107" s="1"/>
      <c r="U107" s="1"/>
      <c r="V107" s="1"/>
      <c r="W107" s="1"/>
      <c r="X107" s="1"/>
      <c r="Y107" s="1"/>
    </row>
    <row r="108" spans="1:25" ht="14.25" customHeight="1">
      <c r="A108" s="1"/>
      <c r="B108" s="193" t="s">
        <v>69</v>
      </c>
      <c r="C108" s="173"/>
      <c r="D108" s="173"/>
      <c r="E108" s="173"/>
      <c r="F108" s="174"/>
      <c r="G108" s="1"/>
      <c r="H108" s="1"/>
      <c r="I108" s="1"/>
      <c r="J108" s="1"/>
      <c r="K108" s="1"/>
      <c r="L108" s="1"/>
      <c r="M108" s="1"/>
      <c r="N108" s="1"/>
      <c r="O108" s="1"/>
      <c r="P108" s="1"/>
      <c r="Q108" s="1"/>
      <c r="R108" s="1"/>
      <c r="S108" s="1"/>
      <c r="T108" s="1"/>
      <c r="U108" s="1"/>
      <c r="V108" s="1"/>
      <c r="W108" s="1"/>
      <c r="X108" s="1"/>
      <c r="Y108" s="1"/>
    </row>
    <row r="109" spans="1:25" ht="14.25" customHeight="1">
      <c r="A109" s="1"/>
      <c r="B109" s="178"/>
      <c r="C109" s="179"/>
      <c r="D109" s="179"/>
      <c r="E109" s="179"/>
      <c r="F109" s="180"/>
      <c r="G109" s="1"/>
      <c r="H109" s="1"/>
      <c r="I109" s="1"/>
      <c r="J109" s="1"/>
      <c r="K109" s="1"/>
      <c r="L109" s="1"/>
      <c r="M109" s="1"/>
      <c r="N109" s="1"/>
      <c r="O109" s="1"/>
      <c r="P109" s="1"/>
      <c r="Q109" s="1"/>
      <c r="R109" s="1"/>
      <c r="S109" s="1"/>
      <c r="T109" s="1"/>
      <c r="U109" s="1"/>
      <c r="V109" s="1"/>
      <c r="W109" s="1"/>
      <c r="X109" s="1"/>
      <c r="Y109" s="1"/>
    </row>
    <row r="110" spans="1:25" ht="14.25" customHeight="1">
      <c r="A110" s="1"/>
      <c r="B110" s="193" t="s">
        <v>70</v>
      </c>
      <c r="C110" s="173"/>
      <c r="D110" s="173"/>
      <c r="E110" s="173"/>
      <c r="F110" s="174"/>
      <c r="G110" s="1"/>
      <c r="H110" s="1"/>
      <c r="I110" s="1"/>
      <c r="J110" s="1"/>
      <c r="K110" s="1"/>
      <c r="L110" s="1"/>
      <c r="M110" s="1"/>
      <c r="N110" s="1"/>
      <c r="O110" s="1"/>
      <c r="P110" s="1"/>
      <c r="Q110" s="1"/>
      <c r="R110" s="1"/>
      <c r="S110" s="1"/>
      <c r="T110" s="1"/>
      <c r="U110" s="1"/>
      <c r="V110" s="1"/>
      <c r="W110" s="1"/>
      <c r="X110" s="1"/>
      <c r="Y110" s="1"/>
    </row>
    <row r="111" spans="1:25" ht="14.25" customHeight="1">
      <c r="A111" s="1"/>
      <c r="B111" s="178"/>
      <c r="C111" s="179"/>
      <c r="D111" s="179"/>
      <c r="E111" s="179"/>
      <c r="F111" s="180"/>
      <c r="G111" s="1"/>
      <c r="H111" s="1"/>
      <c r="I111" s="1"/>
      <c r="J111" s="1"/>
      <c r="K111" s="1"/>
      <c r="L111" s="1"/>
      <c r="M111" s="1"/>
      <c r="N111" s="1"/>
      <c r="O111" s="1"/>
      <c r="P111" s="1"/>
      <c r="Q111" s="1"/>
      <c r="R111" s="1"/>
      <c r="S111" s="1"/>
      <c r="T111" s="1"/>
      <c r="U111" s="1"/>
      <c r="V111" s="1"/>
      <c r="W111" s="1"/>
      <c r="X111" s="1"/>
      <c r="Y111" s="1"/>
    </row>
    <row r="112" spans="1:25" ht="14.25" customHeight="1">
      <c r="A112" s="1"/>
      <c r="B112" s="193" t="s">
        <v>71</v>
      </c>
      <c r="C112" s="173"/>
      <c r="D112" s="173"/>
      <c r="E112" s="173"/>
      <c r="F112" s="174"/>
      <c r="G112" s="1"/>
      <c r="H112" s="1"/>
      <c r="I112" s="1"/>
      <c r="J112" s="1"/>
      <c r="K112" s="1"/>
      <c r="L112" s="1"/>
      <c r="M112" s="1"/>
      <c r="N112" s="1"/>
      <c r="O112" s="1"/>
      <c r="P112" s="1"/>
      <c r="Q112" s="1"/>
      <c r="R112" s="1"/>
      <c r="S112" s="1"/>
      <c r="T112" s="1"/>
      <c r="U112" s="1"/>
      <c r="V112" s="1"/>
      <c r="W112" s="1"/>
      <c r="X112" s="1"/>
      <c r="Y112" s="1"/>
    </row>
    <row r="113" spans="1:25" ht="14.25" customHeight="1">
      <c r="A113" s="1"/>
      <c r="B113" s="178"/>
      <c r="C113" s="179"/>
      <c r="D113" s="179"/>
      <c r="E113" s="179"/>
      <c r="F113" s="180"/>
      <c r="G113" s="1"/>
      <c r="H113" s="1"/>
      <c r="I113" s="1"/>
      <c r="J113" s="1"/>
      <c r="K113" s="1"/>
      <c r="L113" s="1"/>
      <c r="M113" s="1"/>
      <c r="N113" s="1"/>
      <c r="O113" s="1"/>
      <c r="P113" s="1"/>
      <c r="Q113" s="1"/>
      <c r="R113" s="1"/>
      <c r="S113" s="1"/>
      <c r="T113" s="1"/>
      <c r="U113" s="1"/>
      <c r="V113" s="1"/>
      <c r="W113" s="1"/>
      <c r="X113" s="1"/>
      <c r="Y113" s="1"/>
    </row>
    <row r="114" spans="1:25" ht="14.25" customHeight="1">
      <c r="A114" s="1"/>
      <c r="B114" s="193" t="s">
        <v>72</v>
      </c>
      <c r="C114" s="173"/>
      <c r="D114" s="173"/>
      <c r="E114" s="173"/>
      <c r="F114" s="174"/>
      <c r="G114" s="1"/>
      <c r="H114" s="1"/>
      <c r="I114" s="1"/>
      <c r="J114" s="1"/>
      <c r="K114" s="1"/>
      <c r="L114" s="1"/>
      <c r="M114" s="1"/>
      <c r="N114" s="1"/>
      <c r="O114" s="1"/>
      <c r="P114" s="1"/>
      <c r="Q114" s="1"/>
      <c r="R114" s="1"/>
      <c r="S114" s="1"/>
      <c r="T114" s="1"/>
      <c r="U114" s="1"/>
      <c r="V114" s="1"/>
      <c r="W114" s="1"/>
      <c r="X114" s="1"/>
      <c r="Y114" s="1"/>
    </row>
    <row r="115" spans="1:25" ht="14.25" customHeight="1">
      <c r="A115" s="1"/>
      <c r="B115" s="178"/>
      <c r="C115" s="179"/>
      <c r="D115" s="179"/>
      <c r="E115" s="179"/>
      <c r="F115" s="180"/>
      <c r="G115" s="1"/>
      <c r="H115" s="1"/>
      <c r="I115" s="1"/>
      <c r="J115" s="1"/>
      <c r="K115" s="1"/>
      <c r="L115" s="1"/>
      <c r="M115" s="1"/>
      <c r="N115" s="1"/>
      <c r="O115" s="1"/>
      <c r="P115" s="1"/>
      <c r="Q115" s="1"/>
      <c r="R115" s="1"/>
      <c r="S115" s="1"/>
      <c r="T115" s="1"/>
      <c r="U115" s="1"/>
      <c r="V115" s="1"/>
      <c r="W115" s="1"/>
      <c r="X115" s="1"/>
      <c r="Y115" s="1"/>
    </row>
    <row r="116" spans="1:25" ht="14.25" customHeight="1">
      <c r="A116" s="1"/>
      <c r="B116" s="193" t="s">
        <v>73</v>
      </c>
      <c r="C116" s="173"/>
      <c r="D116" s="173"/>
      <c r="E116" s="173"/>
      <c r="F116" s="174"/>
      <c r="G116" s="1"/>
      <c r="H116" s="1"/>
      <c r="I116" s="1"/>
      <c r="J116" s="1"/>
      <c r="K116" s="1"/>
      <c r="L116" s="1"/>
      <c r="M116" s="1"/>
      <c r="N116" s="1"/>
      <c r="O116" s="1"/>
      <c r="P116" s="1"/>
      <c r="Q116" s="1"/>
      <c r="R116" s="1"/>
      <c r="S116" s="1"/>
      <c r="T116" s="1"/>
      <c r="U116" s="1"/>
      <c r="V116" s="1"/>
      <c r="W116" s="1"/>
      <c r="X116" s="1"/>
      <c r="Y116" s="1"/>
    </row>
    <row r="117" spans="1:25" ht="14.25" customHeight="1">
      <c r="A117" s="1"/>
      <c r="B117" s="178"/>
      <c r="C117" s="179"/>
      <c r="D117" s="179"/>
      <c r="E117" s="179"/>
      <c r="F117" s="180"/>
      <c r="G117" s="1"/>
      <c r="H117" s="1"/>
      <c r="I117" s="1"/>
      <c r="J117" s="1"/>
      <c r="K117" s="1"/>
      <c r="L117" s="1"/>
      <c r="M117" s="1"/>
      <c r="N117" s="1"/>
      <c r="O117" s="1"/>
      <c r="P117" s="1"/>
      <c r="Q117" s="1"/>
      <c r="R117" s="1"/>
      <c r="S117" s="1"/>
      <c r="T117" s="1"/>
      <c r="U117" s="1"/>
      <c r="V117" s="1"/>
      <c r="W117" s="1"/>
      <c r="X117" s="1"/>
      <c r="Y117" s="1"/>
    </row>
    <row r="118" spans="1:25" ht="14.25" customHeight="1">
      <c r="A118" s="1"/>
      <c r="B118" s="193" t="s">
        <v>74</v>
      </c>
      <c r="C118" s="173"/>
      <c r="D118" s="173"/>
      <c r="E118" s="173"/>
      <c r="F118" s="174"/>
      <c r="G118" s="1"/>
      <c r="H118" s="1"/>
      <c r="I118" s="1"/>
      <c r="J118" s="1"/>
      <c r="K118" s="1"/>
      <c r="L118" s="1"/>
      <c r="M118" s="1"/>
      <c r="N118" s="1"/>
      <c r="O118" s="1"/>
      <c r="P118" s="1"/>
      <c r="Q118" s="1"/>
      <c r="R118" s="1"/>
      <c r="S118" s="1"/>
      <c r="T118" s="1"/>
      <c r="U118" s="1"/>
      <c r="V118" s="1"/>
      <c r="W118" s="1"/>
      <c r="X118" s="1"/>
      <c r="Y118" s="1"/>
    </row>
    <row r="119" spans="1:25" ht="14.25" customHeight="1">
      <c r="A119" s="1"/>
      <c r="B119" s="178"/>
      <c r="C119" s="179"/>
      <c r="D119" s="179"/>
      <c r="E119" s="179"/>
      <c r="F119" s="180"/>
      <c r="G119" s="1"/>
      <c r="H119" s="1"/>
      <c r="I119" s="1"/>
      <c r="J119" s="1"/>
      <c r="K119" s="1"/>
      <c r="L119" s="1"/>
      <c r="M119" s="1"/>
      <c r="N119" s="1"/>
      <c r="O119" s="1"/>
      <c r="P119" s="1"/>
      <c r="Q119" s="1"/>
      <c r="R119" s="1"/>
      <c r="S119" s="1"/>
      <c r="T119" s="1"/>
      <c r="U119" s="1"/>
      <c r="V119" s="1"/>
      <c r="W119" s="1"/>
      <c r="X119" s="1"/>
      <c r="Y119" s="1"/>
    </row>
    <row r="120" spans="1:25"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25" customHeight="1">
      <c r="A121" s="1"/>
      <c r="B121" s="194" t="s">
        <v>75</v>
      </c>
      <c r="C121" s="182"/>
      <c r="D121" s="182"/>
      <c r="E121" s="182"/>
      <c r="F121" s="183"/>
      <c r="G121" s="1"/>
      <c r="H121" s="1"/>
      <c r="I121" s="1"/>
      <c r="J121" s="1"/>
      <c r="K121" s="1"/>
      <c r="L121" s="1"/>
      <c r="M121" s="1"/>
      <c r="N121" s="1"/>
      <c r="O121" s="1"/>
      <c r="P121" s="1"/>
      <c r="Q121" s="1"/>
      <c r="R121" s="1"/>
      <c r="S121" s="1"/>
      <c r="T121" s="1"/>
      <c r="U121" s="1"/>
      <c r="V121" s="1"/>
      <c r="W121" s="1"/>
      <c r="X121" s="1"/>
      <c r="Y121" s="1"/>
    </row>
    <row r="122" spans="1:25" ht="14.25" customHeight="1">
      <c r="A122" s="1"/>
      <c r="B122" s="195" t="s">
        <v>76</v>
      </c>
      <c r="C122" s="173"/>
      <c r="D122" s="173"/>
      <c r="E122" s="173"/>
      <c r="F122" s="174"/>
      <c r="G122" s="1"/>
      <c r="H122" s="1"/>
      <c r="I122" s="1"/>
      <c r="J122" s="1"/>
      <c r="K122" s="1"/>
      <c r="L122" s="1"/>
      <c r="M122" s="1"/>
      <c r="N122" s="1"/>
      <c r="O122" s="1"/>
      <c r="P122" s="1"/>
      <c r="Q122" s="1"/>
      <c r="R122" s="1"/>
      <c r="S122" s="1"/>
      <c r="T122" s="1"/>
      <c r="U122" s="1"/>
      <c r="V122" s="1"/>
      <c r="W122" s="1"/>
      <c r="X122" s="1"/>
      <c r="Y122" s="1"/>
    </row>
    <row r="123" spans="1:25" ht="14.25" customHeight="1">
      <c r="A123" s="1"/>
      <c r="B123" s="175"/>
      <c r="C123" s="176"/>
      <c r="D123" s="176"/>
      <c r="E123" s="176"/>
      <c r="F123" s="177"/>
      <c r="G123" s="1"/>
      <c r="H123" s="1"/>
      <c r="I123" s="1"/>
      <c r="J123" s="1"/>
      <c r="K123" s="1"/>
      <c r="L123" s="1"/>
      <c r="M123" s="1"/>
      <c r="N123" s="1"/>
      <c r="O123" s="1"/>
      <c r="P123" s="1"/>
      <c r="Q123" s="1"/>
      <c r="R123" s="1"/>
      <c r="S123" s="1"/>
      <c r="T123" s="1"/>
      <c r="U123" s="1"/>
      <c r="V123" s="1"/>
      <c r="W123" s="1"/>
      <c r="X123" s="1"/>
      <c r="Y123" s="1"/>
    </row>
    <row r="124" spans="1:25" ht="14.25" customHeight="1">
      <c r="A124" s="1"/>
      <c r="B124" s="175"/>
      <c r="C124" s="176"/>
      <c r="D124" s="176"/>
      <c r="E124" s="176"/>
      <c r="F124" s="177"/>
      <c r="G124" s="1"/>
      <c r="H124" s="1"/>
      <c r="I124" s="1"/>
      <c r="J124" s="1"/>
      <c r="K124" s="1"/>
      <c r="L124" s="1"/>
      <c r="M124" s="1"/>
      <c r="N124" s="1"/>
      <c r="O124" s="1"/>
      <c r="P124" s="1"/>
      <c r="Q124" s="1"/>
      <c r="R124" s="1"/>
      <c r="S124" s="1"/>
      <c r="T124" s="1"/>
      <c r="U124" s="1"/>
      <c r="V124" s="1"/>
      <c r="W124" s="1"/>
      <c r="X124" s="1"/>
      <c r="Y124" s="1"/>
    </row>
    <row r="125" spans="1:25" ht="14.25" customHeight="1">
      <c r="A125" s="1"/>
      <c r="B125" s="175"/>
      <c r="C125" s="176"/>
      <c r="D125" s="176"/>
      <c r="E125" s="176"/>
      <c r="F125" s="177"/>
      <c r="G125" s="1"/>
      <c r="H125" s="1"/>
      <c r="I125" s="1"/>
      <c r="J125" s="1"/>
      <c r="K125" s="1"/>
      <c r="L125" s="1"/>
      <c r="M125" s="1"/>
      <c r="N125" s="1"/>
      <c r="O125" s="1"/>
      <c r="P125" s="1"/>
      <c r="Q125" s="1"/>
      <c r="R125" s="1"/>
      <c r="S125" s="1"/>
      <c r="T125" s="1"/>
      <c r="U125" s="1"/>
      <c r="V125" s="1"/>
      <c r="W125" s="1"/>
      <c r="X125" s="1"/>
      <c r="Y125" s="1"/>
    </row>
    <row r="126" spans="1:25" ht="14.25" customHeight="1">
      <c r="A126" s="1"/>
      <c r="B126" s="175"/>
      <c r="C126" s="176"/>
      <c r="D126" s="176"/>
      <c r="E126" s="176"/>
      <c r="F126" s="177"/>
      <c r="G126" s="1"/>
      <c r="H126" s="1"/>
      <c r="I126" s="1"/>
      <c r="J126" s="1"/>
      <c r="K126" s="1"/>
      <c r="L126" s="1"/>
      <c r="M126" s="1"/>
      <c r="N126" s="1"/>
      <c r="O126" s="1"/>
      <c r="P126" s="1"/>
      <c r="Q126" s="1"/>
      <c r="R126" s="1"/>
      <c r="S126" s="1"/>
      <c r="T126" s="1"/>
      <c r="U126" s="1"/>
      <c r="V126" s="1"/>
      <c r="W126" s="1"/>
      <c r="X126" s="1"/>
      <c r="Y126" s="1"/>
    </row>
    <row r="127" spans="1:25" ht="14.25" customHeight="1">
      <c r="A127" s="1"/>
      <c r="B127" s="175"/>
      <c r="C127" s="176"/>
      <c r="D127" s="176"/>
      <c r="E127" s="176"/>
      <c r="F127" s="177"/>
      <c r="G127" s="1"/>
      <c r="H127" s="1"/>
      <c r="I127" s="1"/>
      <c r="J127" s="1"/>
      <c r="K127" s="1"/>
      <c r="L127" s="1"/>
      <c r="M127" s="1"/>
      <c r="N127" s="1"/>
      <c r="O127" s="1"/>
      <c r="P127" s="1"/>
      <c r="Q127" s="1"/>
      <c r="R127" s="1"/>
      <c r="S127" s="1"/>
      <c r="T127" s="1"/>
      <c r="U127" s="1"/>
      <c r="V127" s="1"/>
      <c r="W127" s="1"/>
      <c r="X127" s="1"/>
      <c r="Y127" s="1"/>
    </row>
    <row r="128" spans="1:25" ht="14.25" customHeight="1">
      <c r="A128" s="1"/>
      <c r="B128" s="175"/>
      <c r="C128" s="176"/>
      <c r="D128" s="176"/>
      <c r="E128" s="176"/>
      <c r="F128" s="177"/>
      <c r="G128" s="1"/>
      <c r="H128" s="1"/>
      <c r="I128" s="1"/>
      <c r="J128" s="1"/>
      <c r="K128" s="1"/>
      <c r="L128" s="1"/>
      <c r="M128" s="1"/>
      <c r="N128" s="1"/>
      <c r="O128" s="1"/>
      <c r="P128" s="1"/>
      <c r="Q128" s="1"/>
      <c r="R128" s="1"/>
      <c r="S128" s="1"/>
      <c r="T128" s="1"/>
      <c r="U128" s="1"/>
      <c r="V128" s="1"/>
      <c r="W128" s="1"/>
      <c r="X128" s="1"/>
      <c r="Y128" s="1"/>
    </row>
    <row r="129" spans="1:25" ht="14.25" customHeight="1">
      <c r="A129" s="1"/>
      <c r="B129" s="175"/>
      <c r="C129" s="176"/>
      <c r="D129" s="176"/>
      <c r="E129" s="176"/>
      <c r="F129" s="177"/>
      <c r="G129" s="1"/>
      <c r="H129" s="1"/>
      <c r="I129" s="1"/>
      <c r="J129" s="1"/>
      <c r="K129" s="1"/>
      <c r="L129" s="1"/>
      <c r="M129" s="1"/>
      <c r="N129" s="1"/>
      <c r="O129" s="1"/>
      <c r="P129" s="1"/>
      <c r="Q129" s="1"/>
      <c r="R129" s="1"/>
      <c r="S129" s="1"/>
      <c r="T129" s="1"/>
      <c r="U129" s="1"/>
      <c r="V129" s="1"/>
      <c r="W129" s="1"/>
      <c r="X129" s="1"/>
      <c r="Y129" s="1"/>
    </row>
    <row r="130" spans="1:25" ht="14.25" customHeight="1">
      <c r="A130" s="1"/>
      <c r="B130" s="197" t="s">
        <v>77</v>
      </c>
      <c r="C130" s="176"/>
      <c r="D130" s="176"/>
      <c r="E130" s="176"/>
      <c r="F130" s="177"/>
      <c r="G130" s="1"/>
      <c r="H130" s="1"/>
      <c r="I130" s="1"/>
      <c r="J130" s="1"/>
      <c r="K130" s="1"/>
      <c r="L130" s="1"/>
      <c r="M130" s="1"/>
      <c r="N130" s="1"/>
      <c r="O130" s="1"/>
      <c r="P130" s="1"/>
      <c r="Q130" s="1"/>
      <c r="R130" s="1"/>
      <c r="S130" s="1"/>
      <c r="T130" s="1"/>
      <c r="U130" s="1"/>
      <c r="V130" s="1"/>
      <c r="W130" s="1"/>
      <c r="X130" s="1"/>
      <c r="Y130" s="1"/>
    </row>
    <row r="131" spans="1:25" ht="14.25" customHeight="1">
      <c r="A131" s="1"/>
      <c r="B131" s="175"/>
      <c r="C131" s="176"/>
      <c r="D131" s="176"/>
      <c r="E131" s="176"/>
      <c r="F131" s="177"/>
      <c r="G131" s="1"/>
      <c r="H131" s="1"/>
      <c r="I131" s="1"/>
      <c r="J131" s="1"/>
      <c r="K131" s="1"/>
      <c r="L131" s="1"/>
      <c r="M131" s="1"/>
      <c r="N131" s="1"/>
      <c r="O131" s="1"/>
      <c r="P131" s="1"/>
      <c r="Q131" s="1"/>
      <c r="R131" s="1"/>
      <c r="S131" s="1"/>
      <c r="T131" s="1"/>
      <c r="U131" s="1"/>
      <c r="V131" s="1"/>
      <c r="W131" s="1"/>
      <c r="X131" s="1"/>
      <c r="Y131" s="1"/>
    </row>
    <row r="132" spans="1:25" ht="14.25" customHeight="1">
      <c r="A132" s="1"/>
      <c r="B132" s="175"/>
      <c r="C132" s="176"/>
      <c r="D132" s="176"/>
      <c r="E132" s="176"/>
      <c r="F132" s="177"/>
      <c r="G132" s="1"/>
      <c r="H132" s="1"/>
      <c r="I132" s="1"/>
      <c r="J132" s="1"/>
      <c r="K132" s="1"/>
      <c r="L132" s="1"/>
      <c r="M132" s="1"/>
      <c r="N132" s="1"/>
      <c r="O132" s="1"/>
      <c r="P132" s="1"/>
      <c r="Q132" s="1"/>
      <c r="R132" s="1"/>
      <c r="S132" s="1"/>
      <c r="T132" s="1"/>
      <c r="U132" s="1"/>
      <c r="V132" s="1"/>
      <c r="W132" s="1"/>
      <c r="X132" s="1"/>
      <c r="Y132" s="1"/>
    </row>
    <row r="133" spans="1:25" ht="14.25" customHeight="1">
      <c r="A133" s="1"/>
      <c r="B133" s="175"/>
      <c r="C133" s="176"/>
      <c r="D133" s="176"/>
      <c r="E133" s="176"/>
      <c r="F133" s="177"/>
      <c r="G133" s="1"/>
      <c r="H133" s="1"/>
      <c r="I133" s="1"/>
      <c r="J133" s="1"/>
      <c r="K133" s="1"/>
      <c r="L133" s="1"/>
      <c r="M133" s="1"/>
      <c r="N133" s="1"/>
      <c r="O133" s="1"/>
      <c r="P133" s="1"/>
      <c r="Q133" s="1"/>
      <c r="R133" s="1"/>
      <c r="S133" s="1"/>
      <c r="T133" s="1"/>
      <c r="U133" s="1"/>
      <c r="V133" s="1"/>
      <c r="W133" s="1"/>
      <c r="X133" s="1"/>
      <c r="Y133" s="1"/>
    </row>
    <row r="134" spans="1:25" ht="14.25" customHeight="1">
      <c r="A134" s="1"/>
      <c r="B134" s="175"/>
      <c r="C134" s="176"/>
      <c r="D134" s="176"/>
      <c r="E134" s="176"/>
      <c r="F134" s="177"/>
      <c r="G134" s="1"/>
      <c r="H134" s="1"/>
      <c r="I134" s="1"/>
      <c r="J134" s="1"/>
      <c r="K134" s="1"/>
      <c r="L134" s="1"/>
      <c r="M134" s="1"/>
      <c r="N134" s="1"/>
      <c r="O134" s="1"/>
      <c r="P134" s="1"/>
      <c r="Q134" s="1"/>
      <c r="R134" s="1"/>
      <c r="S134" s="1"/>
      <c r="T134" s="1"/>
      <c r="U134" s="1"/>
      <c r="V134" s="1"/>
      <c r="W134" s="1"/>
      <c r="X134" s="1"/>
      <c r="Y134" s="1"/>
    </row>
    <row r="135" spans="1:25" ht="14.25" customHeight="1">
      <c r="A135" s="1"/>
      <c r="B135" s="175"/>
      <c r="C135" s="176"/>
      <c r="D135" s="176"/>
      <c r="E135" s="176"/>
      <c r="F135" s="177"/>
      <c r="G135" s="1"/>
      <c r="H135" s="1"/>
      <c r="I135" s="1"/>
      <c r="J135" s="1"/>
      <c r="K135" s="1"/>
      <c r="L135" s="1"/>
      <c r="M135" s="1"/>
      <c r="N135" s="1"/>
      <c r="O135" s="1"/>
      <c r="P135" s="1"/>
      <c r="Q135" s="1"/>
      <c r="R135" s="1"/>
      <c r="S135" s="1"/>
      <c r="T135" s="1"/>
      <c r="U135" s="1"/>
      <c r="V135" s="1"/>
      <c r="W135" s="1"/>
      <c r="X135" s="1"/>
      <c r="Y135" s="1"/>
    </row>
    <row r="136" spans="1:25" ht="14.25" customHeight="1">
      <c r="A136" s="1"/>
      <c r="B136" s="178"/>
      <c r="C136" s="179"/>
      <c r="D136" s="179"/>
      <c r="E136" s="179"/>
      <c r="F136" s="180"/>
      <c r="G136" s="1"/>
      <c r="H136" s="1"/>
      <c r="I136" s="1"/>
      <c r="J136" s="1"/>
      <c r="K136" s="1"/>
      <c r="L136" s="1"/>
      <c r="M136" s="1"/>
      <c r="N136" s="1"/>
      <c r="O136" s="1"/>
      <c r="P136" s="1"/>
      <c r="Q136" s="1"/>
      <c r="R136" s="1"/>
      <c r="S136" s="1"/>
      <c r="T136" s="1"/>
      <c r="U136" s="1"/>
      <c r="V136" s="1"/>
      <c r="W136" s="1"/>
      <c r="X136" s="1"/>
      <c r="Y136" s="1"/>
    </row>
    <row r="137" spans="1:25" ht="14.25" customHeight="1">
      <c r="A137" s="1"/>
      <c r="B137" s="196" t="s">
        <v>78</v>
      </c>
      <c r="C137" s="173"/>
      <c r="D137" s="173"/>
      <c r="E137" s="173"/>
      <c r="F137" s="174"/>
      <c r="G137" s="1"/>
      <c r="H137" s="1"/>
      <c r="I137" s="1"/>
      <c r="J137" s="1"/>
      <c r="K137" s="1"/>
      <c r="L137" s="1"/>
      <c r="M137" s="1"/>
      <c r="N137" s="1"/>
      <c r="O137" s="1"/>
      <c r="P137" s="1"/>
      <c r="Q137" s="1"/>
      <c r="R137" s="1"/>
      <c r="S137" s="1"/>
      <c r="T137" s="1"/>
      <c r="U137" s="1"/>
      <c r="V137" s="1"/>
      <c r="W137" s="1"/>
      <c r="X137" s="1"/>
      <c r="Y137" s="1"/>
    </row>
    <row r="138" spans="1:25" ht="14.25" customHeight="1">
      <c r="A138" s="1"/>
      <c r="B138" s="175"/>
      <c r="C138" s="176"/>
      <c r="D138" s="176"/>
      <c r="E138" s="176"/>
      <c r="F138" s="177"/>
      <c r="G138" s="1"/>
      <c r="H138" s="1"/>
      <c r="I138" s="1"/>
      <c r="J138" s="1"/>
      <c r="K138" s="1"/>
      <c r="L138" s="1"/>
      <c r="M138" s="1"/>
      <c r="N138" s="1"/>
      <c r="O138" s="1"/>
      <c r="P138" s="1"/>
      <c r="Q138" s="1"/>
      <c r="R138" s="1"/>
      <c r="S138" s="1"/>
      <c r="T138" s="1"/>
      <c r="U138" s="1"/>
      <c r="V138" s="1"/>
      <c r="W138" s="1"/>
      <c r="X138" s="1"/>
      <c r="Y138" s="1"/>
    </row>
    <row r="139" spans="1:25" ht="14.25" customHeight="1">
      <c r="A139" s="1"/>
      <c r="B139" s="175"/>
      <c r="C139" s="176"/>
      <c r="D139" s="176"/>
      <c r="E139" s="176"/>
      <c r="F139" s="177"/>
      <c r="G139" s="1"/>
      <c r="H139" s="1"/>
      <c r="I139" s="1"/>
      <c r="J139" s="1"/>
      <c r="K139" s="1"/>
      <c r="L139" s="1"/>
      <c r="M139" s="1"/>
      <c r="N139" s="1"/>
      <c r="O139" s="1"/>
      <c r="P139" s="1"/>
      <c r="Q139" s="1"/>
      <c r="R139" s="1"/>
      <c r="S139" s="1"/>
      <c r="T139" s="1"/>
      <c r="U139" s="1"/>
      <c r="V139" s="1"/>
      <c r="W139" s="1"/>
      <c r="X139" s="1"/>
      <c r="Y139" s="1"/>
    </row>
    <row r="140" spans="1:25" ht="14.25" customHeight="1">
      <c r="A140" s="1"/>
      <c r="B140" s="175"/>
      <c r="C140" s="176"/>
      <c r="D140" s="176"/>
      <c r="E140" s="176"/>
      <c r="F140" s="177"/>
      <c r="G140" s="1"/>
      <c r="H140" s="1"/>
      <c r="I140" s="1"/>
      <c r="J140" s="1"/>
      <c r="K140" s="1"/>
      <c r="L140" s="1"/>
      <c r="M140" s="1"/>
      <c r="N140" s="1"/>
      <c r="O140" s="1"/>
      <c r="P140" s="1"/>
      <c r="Q140" s="1"/>
      <c r="R140" s="1"/>
      <c r="S140" s="1"/>
      <c r="T140" s="1"/>
      <c r="U140" s="1"/>
      <c r="V140" s="1"/>
      <c r="W140" s="1"/>
      <c r="X140" s="1"/>
      <c r="Y140" s="1"/>
    </row>
    <row r="141" spans="1:25" ht="14.25" customHeight="1">
      <c r="A141" s="1"/>
      <c r="B141" s="175"/>
      <c r="C141" s="176"/>
      <c r="D141" s="176"/>
      <c r="E141" s="176"/>
      <c r="F141" s="177"/>
      <c r="G141" s="1"/>
      <c r="H141" s="1"/>
      <c r="I141" s="1"/>
      <c r="J141" s="1"/>
      <c r="K141" s="1"/>
      <c r="L141" s="1"/>
      <c r="M141" s="1"/>
      <c r="N141" s="1"/>
      <c r="O141" s="1"/>
      <c r="P141" s="1"/>
      <c r="Q141" s="1"/>
      <c r="R141" s="1"/>
      <c r="S141" s="1"/>
      <c r="T141" s="1"/>
      <c r="U141" s="1"/>
      <c r="V141" s="1"/>
      <c r="W141" s="1"/>
      <c r="X141" s="1"/>
      <c r="Y141" s="1"/>
    </row>
    <row r="142" spans="1:25" ht="14.25" customHeight="1">
      <c r="A142" s="1"/>
      <c r="B142" s="175"/>
      <c r="C142" s="176"/>
      <c r="D142" s="176"/>
      <c r="E142" s="176"/>
      <c r="F142" s="177"/>
      <c r="G142" s="1"/>
      <c r="H142" s="1"/>
      <c r="I142" s="1"/>
      <c r="J142" s="1"/>
      <c r="K142" s="1"/>
      <c r="L142" s="1"/>
      <c r="M142" s="1"/>
      <c r="N142" s="1"/>
      <c r="O142" s="1"/>
      <c r="P142" s="1"/>
      <c r="Q142" s="1"/>
      <c r="R142" s="1"/>
      <c r="S142" s="1"/>
      <c r="T142" s="1"/>
      <c r="U142" s="1"/>
      <c r="V142" s="1"/>
      <c r="W142" s="1"/>
      <c r="X142" s="1"/>
      <c r="Y142" s="1"/>
    </row>
    <row r="143" spans="1:25" ht="14.25" customHeight="1">
      <c r="A143" s="1"/>
      <c r="B143" s="175"/>
      <c r="C143" s="176"/>
      <c r="D143" s="176"/>
      <c r="E143" s="176"/>
      <c r="F143" s="177"/>
      <c r="G143" s="1"/>
      <c r="H143" s="1"/>
      <c r="I143" s="1"/>
      <c r="J143" s="1"/>
      <c r="K143" s="1"/>
      <c r="L143" s="1"/>
      <c r="M143" s="1"/>
      <c r="N143" s="1"/>
      <c r="O143" s="1"/>
      <c r="P143" s="1"/>
      <c r="Q143" s="1"/>
      <c r="R143" s="1"/>
      <c r="S143" s="1"/>
      <c r="T143" s="1"/>
      <c r="U143" s="1"/>
      <c r="V143" s="1"/>
      <c r="W143" s="1"/>
      <c r="X143" s="1"/>
      <c r="Y143" s="1"/>
    </row>
    <row r="144" spans="1:25" ht="14.25" customHeight="1">
      <c r="A144" s="1"/>
      <c r="B144" s="175"/>
      <c r="C144" s="176"/>
      <c r="D144" s="176"/>
      <c r="E144" s="176"/>
      <c r="F144" s="177"/>
      <c r="G144" s="1"/>
      <c r="H144" s="1"/>
      <c r="I144" s="1"/>
      <c r="J144" s="1"/>
      <c r="K144" s="1"/>
      <c r="L144" s="1"/>
      <c r="M144" s="1"/>
      <c r="N144" s="1"/>
      <c r="O144" s="1"/>
      <c r="P144" s="1"/>
      <c r="Q144" s="1"/>
      <c r="R144" s="1"/>
      <c r="S144" s="1"/>
      <c r="T144" s="1"/>
      <c r="U144" s="1"/>
      <c r="V144" s="1"/>
      <c r="W144" s="1"/>
      <c r="X144" s="1"/>
      <c r="Y144" s="1"/>
    </row>
    <row r="145" spans="1:25" ht="14.25" customHeight="1">
      <c r="A145" s="1"/>
      <c r="B145" s="175"/>
      <c r="C145" s="176"/>
      <c r="D145" s="176"/>
      <c r="E145" s="176"/>
      <c r="F145" s="177"/>
      <c r="G145" s="1"/>
      <c r="H145" s="1"/>
      <c r="I145" s="1"/>
      <c r="J145" s="1"/>
      <c r="K145" s="1"/>
      <c r="L145" s="1"/>
      <c r="M145" s="1"/>
      <c r="N145" s="1"/>
      <c r="O145" s="1"/>
      <c r="P145" s="1"/>
      <c r="Q145" s="1"/>
      <c r="R145" s="1"/>
      <c r="S145" s="1"/>
      <c r="T145" s="1"/>
      <c r="U145" s="1"/>
      <c r="V145" s="1"/>
      <c r="W145" s="1"/>
      <c r="X145" s="1"/>
      <c r="Y145" s="1"/>
    </row>
    <row r="146" spans="1:25" ht="14.25" customHeight="1">
      <c r="A146" s="1"/>
      <c r="B146" s="178"/>
      <c r="C146" s="179"/>
      <c r="D146" s="179"/>
      <c r="E146" s="179"/>
      <c r="F146" s="180"/>
      <c r="G146" s="1"/>
      <c r="H146" s="1"/>
      <c r="I146" s="1"/>
      <c r="J146" s="1"/>
      <c r="K146" s="1"/>
      <c r="L146" s="1"/>
      <c r="M146" s="1"/>
      <c r="N146" s="1"/>
      <c r="O146" s="1"/>
      <c r="P146" s="1"/>
      <c r="Q146" s="1"/>
      <c r="R146" s="1"/>
      <c r="S146" s="1"/>
      <c r="T146" s="1"/>
      <c r="U146" s="1"/>
      <c r="V146" s="1"/>
      <c r="W146" s="1"/>
      <c r="X146" s="1"/>
      <c r="Y146" s="1"/>
    </row>
    <row r="147" spans="1:25"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25" customHeight="1">
      <c r="A148" s="1"/>
      <c r="B148" s="194" t="s">
        <v>79</v>
      </c>
      <c r="C148" s="182"/>
      <c r="D148" s="182"/>
      <c r="E148" s="182"/>
      <c r="F148" s="183"/>
      <c r="G148" s="1"/>
      <c r="H148" s="1"/>
      <c r="I148" s="1"/>
      <c r="J148" s="1"/>
      <c r="K148" s="1"/>
      <c r="L148" s="1"/>
      <c r="M148" s="1"/>
      <c r="N148" s="1"/>
      <c r="O148" s="1"/>
      <c r="P148" s="1"/>
      <c r="Q148" s="1"/>
      <c r="R148" s="1"/>
      <c r="S148" s="1"/>
      <c r="T148" s="1"/>
      <c r="U148" s="1"/>
      <c r="V148" s="1"/>
      <c r="W148" s="1"/>
      <c r="X148" s="1"/>
      <c r="Y148" s="1"/>
    </row>
    <row r="149" spans="1:25" ht="14.25" customHeight="1">
      <c r="A149" s="1"/>
      <c r="B149" s="195" t="s">
        <v>80</v>
      </c>
      <c r="C149" s="173"/>
      <c r="D149" s="173"/>
      <c r="E149" s="173"/>
      <c r="F149" s="174"/>
      <c r="G149" s="1"/>
      <c r="H149" s="1"/>
      <c r="I149" s="1"/>
      <c r="J149" s="1"/>
      <c r="K149" s="1"/>
      <c r="L149" s="1"/>
      <c r="M149" s="1"/>
      <c r="N149" s="1"/>
      <c r="O149" s="1"/>
      <c r="P149" s="1"/>
      <c r="Q149" s="1"/>
      <c r="R149" s="1"/>
      <c r="S149" s="1"/>
      <c r="T149" s="1"/>
      <c r="U149" s="1"/>
      <c r="V149" s="1"/>
      <c r="W149" s="1"/>
      <c r="X149" s="1"/>
      <c r="Y149" s="1"/>
    </row>
    <row r="150" spans="1:25" ht="14.25" customHeight="1">
      <c r="A150" s="1"/>
      <c r="B150" s="175"/>
      <c r="C150" s="176"/>
      <c r="D150" s="176"/>
      <c r="E150" s="176"/>
      <c r="F150" s="177"/>
      <c r="G150" s="1"/>
      <c r="H150" s="1"/>
      <c r="I150" s="1"/>
      <c r="J150" s="1"/>
      <c r="K150" s="1"/>
      <c r="L150" s="1"/>
      <c r="M150" s="1"/>
      <c r="N150" s="1"/>
      <c r="O150" s="1"/>
      <c r="P150" s="1"/>
      <c r="Q150" s="1"/>
      <c r="R150" s="1"/>
      <c r="S150" s="1"/>
      <c r="T150" s="1"/>
      <c r="U150" s="1"/>
      <c r="V150" s="1"/>
      <c r="W150" s="1"/>
      <c r="X150" s="1"/>
      <c r="Y150" s="1"/>
    </row>
    <row r="151" spans="1:25" ht="14.25" customHeight="1">
      <c r="A151" s="1"/>
      <c r="B151" s="175"/>
      <c r="C151" s="176"/>
      <c r="D151" s="176"/>
      <c r="E151" s="176"/>
      <c r="F151" s="177"/>
      <c r="G151" s="1"/>
      <c r="H151" s="1"/>
      <c r="I151" s="1"/>
      <c r="J151" s="1"/>
      <c r="K151" s="1"/>
      <c r="L151" s="1"/>
      <c r="M151" s="1"/>
      <c r="N151" s="1"/>
      <c r="O151" s="1"/>
      <c r="P151" s="1"/>
      <c r="Q151" s="1"/>
      <c r="R151" s="1"/>
      <c r="S151" s="1"/>
      <c r="T151" s="1"/>
      <c r="U151" s="1"/>
      <c r="V151" s="1"/>
      <c r="W151" s="1"/>
      <c r="X151" s="1"/>
      <c r="Y151" s="1"/>
    </row>
    <row r="152" spans="1:25" ht="14.25" customHeight="1">
      <c r="A152" s="1"/>
      <c r="B152" s="175"/>
      <c r="C152" s="176"/>
      <c r="D152" s="176"/>
      <c r="E152" s="176"/>
      <c r="F152" s="177"/>
      <c r="G152" s="1"/>
      <c r="H152" s="1"/>
      <c r="I152" s="1"/>
      <c r="J152" s="1"/>
      <c r="K152" s="1"/>
      <c r="L152" s="1"/>
      <c r="M152" s="1"/>
      <c r="N152" s="1"/>
      <c r="O152" s="1"/>
      <c r="P152" s="1"/>
      <c r="Q152" s="1"/>
      <c r="R152" s="1"/>
      <c r="S152" s="1"/>
      <c r="T152" s="1"/>
      <c r="U152" s="1"/>
      <c r="V152" s="1"/>
      <c r="W152" s="1"/>
      <c r="X152" s="1"/>
      <c r="Y152" s="1"/>
    </row>
    <row r="153" spans="1:25" ht="14.25" customHeight="1">
      <c r="A153" s="1"/>
      <c r="B153" s="175"/>
      <c r="C153" s="176"/>
      <c r="D153" s="176"/>
      <c r="E153" s="176"/>
      <c r="F153" s="177"/>
      <c r="G153" s="1"/>
      <c r="H153" s="1"/>
      <c r="I153" s="1"/>
      <c r="J153" s="1"/>
      <c r="K153" s="1"/>
      <c r="L153" s="1"/>
      <c r="M153" s="1"/>
      <c r="N153" s="1"/>
      <c r="O153" s="1"/>
      <c r="P153" s="1"/>
      <c r="Q153" s="1"/>
      <c r="R153" s="1"/>
      <c r="S153" s="1"/>
      <c r="T153" s="1"/>
      <c r="U153" s="1"/>
      <c r="V153" s="1"/>
      <c r="W153" s="1"/>
      <c r="X153" s="1"/>
      <c r="Y153" s="1"/>
    </row>
    <row r="154" spans="1:25" ht="14.25" customHeight="1">
      <c r="A154" s="1"/>
      <c r="B154" s="178"/>
      <c r="C154" s="179"/>
      <c r="D154" s="179"/>
      <c r="E154" s="179"/>
      <c r="F154" s="180"/>
      <c r="G154" s="1"/>
      <c r="H154" s="1"/>
      <c r="I154" s="1"/>
      <c r="J154" s="1"/>
      <c r="K154" s="1"/>
      <c r="L154" s="1"/>
      <c r="M154" s="1"/>
      <c r="N154" s="1"/>
      <c r="O154" s="1"/>
      <c r="P154" s="1"/>
      <c r="Q154" s="1"/>
      <c r="R154" s="1"/>
      <c r="S154" s="1"/>
      <c r="T154" s="1"/>
      <c r="U154" s="1"/>
      <c r="V154" s="1"/>
      <c r="W154" s="1"/>
      <c r="X154" s="1"/>
      <c r="Y154" s="1"/>
    </row>
    <row r="155" spans="1:2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ht="14.25" customHeight="1">
      <c r="A1014" s="1"/>
      <c r="G1014" s="1"/>
      <c r="H1014" s="1"/>
      <c r="I1014" s="1"/>
      <c r="J1014" s="1"/>
      <c r="K1014" s="1"/>
      <c r="L1014" s="1"/>
      <c r="M1014" s="1"/>
      <c r="N1014" s="1"/>
      <c r="O1014" s="1"/>
      <c r="P1014" s="1"/>
      <c r="Q1014" s="1"/>
      <c r="R1014" s="1"/>
      <c r="S1014" s="1"/>
      <c r="T1014" s="1"/>
      <c r="U1014" s="1"/>
      <c r="V1014" s="1"/>
      <c r="W1014" s="1"/>
      <c r="X1014" s="1"/>
      <c r="Y1014" s="1"/>
    </row>
    <row r="1015" spans="1:25" ht="14.25" customHeight="1">
      <c r="A1015" s="1"/>
      <c r="G1015" s="1"/>
      <c r="H1015" s="1"/>
      <c r="I1015" s="1"/>
      <c r="J1015" s="1"/>
      <c r="K1015" s="1"/>
      <c r="L1015" s="1"/>
      <c r="M1015" s="1"/>
      <c r="N1015" s="1"/>
      <c r="O1015" s="1"/>
      <c r="P1015" s="1"/>
      <c r="Q1015" s="1"/>
      <c r="R1015" s="1"/>
      <c r="S1015" s="1"/>
      <c r="T1015" s="1"/>
      <c r="U1015" s="1"/>
      <c r="V1015" s="1"/>
      <c r="W1015" s="1"/>
      <c r="X1015" s="1"/>
      <c r="Y1015" s="1"/>
    </row>
    <row r="1016" spans="1:25" ht="14.25" customHeight="1">
      <c r="A1016" s="1"/>
      <c r="G1016" s="1"/>
      <c r="H1016" s="1"/>
      <c r="I1016" s="1"/>
      <c r="J1016" s="1"/>
      <c r="K1016" s="1"/>
      <c r="L1016" s="1"/>
      <c r="M1016" s="1"/>
      <c r="N1016" s="1"/>
      <c r="O1016" s="1"/>
      <c r="P1016" s="1"/>
      <c r="Q1016" s="1"/>
      <c r="R1016" s="1"/>
      <c r="S1016" s="1"/>
      <c r="T1016" s="1"/>
      <c r="U1016" s="1"/>
      <c r="V1016" s="1"/>
      <c r="W1016" s="1"/>
      <c r="X1016" s="1"/>
      <c r="Y1016" s="1"/>
    </row>
    <row r="1017" spans="1:25" ht="14.25" customHeight="1">
      <c r="A1017" s="1"/>
      <c r="G1017" s="1"/>
      <c r="H1017" s="1"/>
      <c r="I1017" s="1"/>
      <c r="J1017" s="1"/>
      <c r="K1017" s="1"/>
      <c r="L1017" s="1"/>
      <c r="M1017" s="1"/>
      <c r="N1017" s="1"/>
      <c r="O1017" s="1"/>
      <c r="P1017" s="1"/>
      <c r="Q1017" s="1"/>
      <c r="R1017" s="1"/>
      <c r="S1017" s="1"/>
      <c r="T1017" s="1"/>
      <c r="U1017" s="1"/>
      <c r="V1017" s="1"/>
      <c r="W1017" s="1"/>
      <c r="X1017" s="1"/>
      <c r="Y1017" s="1"/>
    </row>
    <row r="1018" spans="1:25" ht="14.25" customHeight="1">
      <c r="A1018" s="1"/>
      <c r="G1018" s="1"/>
      <c r="H1018" s="1"/>
      <c r="I1018" s="1"/>
      <c r="J1018" s="1"/>
      <c r="K1018" s="1"/>
      <c r="L1018" s="1"/>
      <c r="M1018" s="1"/>
      <c r="N1018" s="1"/>
      <c r="O1018" s="1"/>
      <c r="P1018" s="1"/>
      <c r="Q1018" s="1"/>
      <c r="R1018" s="1"/>
      <c r="S1018" s="1"/>
      <c r="T1018" s="1"/>
      <c r="U1018" s="1"/>
      <c r="V1018" s="1"/>
      <c r="W1018" s="1"/>
      <c r="X1018" s="1"/>
      <c r="Y1018" s="1"/>
    </row>
    <row r="1019" spans="1:25" ht="14.25" customHeight="1">
      <c r="A1019" s="1"/>
      <c r="G1019" s="1"/>
      <c r="H1019" s="1"/>
      <c r="I1019" s="1"/>
      <c r="J1019" s="1"/>
      <c r="K1019" s="1"/>
      <c r="L1019" s="1"/>
      <c r="M1019" s="1"/>
      <c r="N1019" s="1"/>
      <c r="O1019" s="1"/>
      <c r="P1019" s="1"/>
      <c r="Q1019" s="1"/>
      <c r="R1019" s="1"/>
      <c r="S1019" s="1"/>
      <c r="T1019" s="1"/>
      <c r="U1019" s="1"/>
      <c r="V1019" s="1"/>
      <c r="W1019" s="1"/>
      <c r="X1019" s="1"/>
      <c r="Y1019" s="1"/>
    </row>
    <row r="1020" spans="1:25" ht="14.25" customHeight="1">
      <c r="A1020" s="1"/>
      <c r="G1020" s="1"/>
      <c r="H1020" s="1"/>
      <c r="I1020" s="1"/>
      <c r="J1020" s="1"/>
      <c r="K1020" s="1"/>
      <c r="L1020" s="1"/>
      <c r="M1020" s="1"/>
      <c r="N1020" s="1"/>
      <c r="O1020" s="1"/>
      <c r="P1020" s="1"/>
      <c r="Q1020" s="1"/>
      <c r="R1020" s="1"/>
      <c r="S1020" s="1"/>
      <c r="T1020" s="1"/>
      <c r="U1020" s="1"/>
      <c r="V1020" s="1"/>
      <c r="W1020" s="1"/>
      <c r="X1020" s="1"/>
      <c r="Y1020" s="1"/>
    </row>
  </sheetData>
  <mergeCells count="77">
    <mergeCell ref="B26:G26"/>
    <mergeCell ref="B27:G27"/>
    <mergeCell ref="B28:G28"/>
    <mergeCell ref="B29:G29"/>
    <mergeCell ref="B52:F54"/>
    <mergeCell ref="E18:E21"/>
    <mergeCell ref="F18:F21"/>
    <mergeCell ref="B23:G23"/>
    <mergeCell ref="B24:G24"/>
    <mergeCell ref="B25:G25"/>
    <mergeCell ref="B15:B17"/>
    <mergeCell ref="C15:C17"/>
    <mergeCell ref="D15:D17"/>
    <mergeCell ref="B18:B21"/>
    <mergeCell ref="C18:C21"/>
    <mergeCell ref="D18:D21"/>
    <mergeCell ref="B11:B14"/>
    <mergeCell ref="C11:C14"/>
    <mergeCell ref="D11:D14"/>
    <mergeCell ref="E11:E14"/>
    <mergeCell ref="F11:F14"/>
    <mergeCell ref="F3:F6"/>
    <mergeCell ref="C7:C10"/>
    <mergeCell ref="F7:F10"/>
    <mergeCell ref="E15:E17"/>
    <mergeCell ref="F15:F17"/>
    <mergeCell ref="D7:D10"/>
    <mergeCell ref="E7:E10"/>
    <mergeCell ref="B3:B6"/>
    <mergeCell ref="C3:C6"/>
    <mergeCell ref="D3:D6"/>
    <mergeCell ref="E3:E6"/>
    <mergeCell ref="B7:B10"/>
    <mergeCell ref="B149:F154"/>
    <mergeCell ref="B112:F113"/>
    <mergeCell ref="B114:F115"/>
    <mergeCell ref="B116:F117"/>
    <mergeCell ref="B118:F119"/>
    <mergeCell ref="B121:F121"/>
    <mergeCell ref="B122:F129"/>
    <mergeCell ref="B130:F136"/>
    <mergeCell ref="B106:F107"/>
    <mergeCell ref="B108:F109"/>
    <mergeCell ref="B110:F111"/>
    <mergeCell ref="B137:F146"/>
    <mergeCell ref="B148:F148"/>
    <mergeCell ref="B79:F80"/>
    <mergeCell ref="B81:F82"/>
    <mergeCell ref="B83:F84"/>
    <mergeCell ref="B86:F86"/>
    <mergeCell ref="B87:F105"/>
    <mergeCell ref="B69:F70"/>
    <mergeCell ref="B71:F72"/>
    <mergeCell ref="B73:F74"/>
    <mergeCell ref="B75:F76"/>
    <mergeCell ref="B77:F78"/>
    <mergeCell ref="B43:G45"/>
    <mergeCell ref="B46:G46"/>
    <mergeCell ref="B47:G49"/>
    <mergeCell ref="B51:F51"/>
    <mergeCell ref="B67:F68"/>
    <mergeCell ref="B55:F56"/>
    <mergeCell ref="B57:F58"/>
    <mergeCell ref="B59:F60"/>
    <mergeCell ref="B61:F62"/>
    <mergeCell ref="B63:F64"/>
    <mergeCell ref="B65:F66"/>
    <mergeCell ref="B35:G35"/>
    <mergeCell ref="B37:G37"/>
    <mergeCell ref="B38:G38"/>
    <mergeCell ref="B39:G41"/>
    <mergeCell ref="B42:G42"/>
    <mergeCell ref="B30:G30"/>
    <mergeCell ref="B31:G31"/>
    <mergeCell ref="B32:G32"/>
    <mergeCell ref="B33:G33"/>
    <mergeCell ref="B34:G3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E872"/>
  <sheetViews>
    <sheetView workbookViewId="0"/>
  </sheetViews>
  <sheetFormatPr baseColWidth="10" defaultColWidth="12.6640625" defaultRowHeight="15" customHeight="1"/>
  <sheetData>
    <row r="1" spans="1:31">
      <c r="A1" s="7"/>
      <c r="B1" s="8"/>
      <c r="C1" s="9">
        <v>43100</v>
      </c>
      <c r="D1" s="9">
        <v>43465</v>
      </c>
      <c r="E1" s="9">
        <v>43830</v>
      </c>
      <c r="F1" s="9">
        <v>44196</v>
      </c>
      <c r="G1" s="9">
        <v>44561</v>
      </c>
      <c r="H1" s="9">
        <v>44926</v>
      </c>
      <c r="I1" s="9">
        <v>45291</v>
      </c>
      <c r="J1" s="10">
        <v>45657</v>
      </c>
      <c r="K1" s="11">
        <v>45747</v>
      </c>
      <c r="L1" s="11">
        <v>45838</v>
      </c>
      <c r="M1" s="11">
        <v>45930</v>
      </c>
      <c r="N1" s="11">
        <v>46022</v>
      </c>
      <c r="O1" s="9">
        <v>46022</v>
      </c>
      <c r="P1" s="11">
        <v>46112</v>
      </c>
      <c r="Q1" s="11">
        <v>46203</v>
      </c>
      <c r="R1" s="11">
        <v>46295</v>
      </c>
      <c r="S1" s="11">
        <v>46387</v>
      </c>
      <c r="T1" s="9">
        <v>46387</v>
      </c>
      <c r="U1" s="9">
        <v>46752</v>
      </c>
      <c r="V1" s="9">
        <v>47118</v>
      </c>
      <c r="W1" s="9">
        <v>47483</v>
      </c>
      <c r="X1" s="8"/>
      <c r="Y1" s="12"/>
      <c r="Z1" s="12"/>
      <c r="AA1" s="12"/>
      <c r="AB1" s="12"/>
      <c r="AC1" s="12"/>
      <c r="AD1" s="12"/>
      <c r="AE1" s="12"/>
    </row>
    <row r="2" spans="1:31">
      <c r="A2" s="13"/>
      <c r="B2" s="8"/>
      <c r="C2" s="14" t="s">
        <v>81</v>
      </c>
      <c r="D2" s="14" t="s">
        <v>82</v>
      </c>
      <c r="E2" s="14" t="s">
        <v>83</v>
      </c>
      <c r="F2" s="14" t="s">
        <v>84</v>
      </c>
      <c r="G2" s="14" t="s">
        <v>85</v>
      </c>
      <c r="H2" s="14" t="s">
        <v>86</v>
      </c>
      <c r="I2" s="14" t="s">
        <v>87</v>
      </c>
      <c r="J2" s="15" t="s">
        <v>88</v>
      </c>
      <c r="K2" s="14" t="s">
        <v>89</v>
      </c>
      <c r="L2" s="14" t="s">
        <v>90</v>
      </c>
      <c r="M2" s="14" t="s">
        <v>91</v>
      </c>
      <c r="N2" s="14" t="s">
        <v>92</v>
      </c>
      <c r="O2" s="14" t="s">
        <v>93</v>
      </c>
      <c r="P2" s="14" t="s">
        <v>94</v>
      </c>
      <c r="Q2" s="14" t="s">
        <v>95</v>
      </c>
      <c r="R2" s="14" t="s">
        <v>96</v>
      </c>
      <c r="S2" s="14" t="s">
        <v>97</v>
      </c>
      <c r="T2" s="14" t="s">
        <v>98</v>
      </c>
      <c r="U2" s="14" t="s">
        <v>99</v>
      </c>
      <c r="V2" s="14" t="s">
        <v>100</v>
      </c>
      <c r="W2" s="14" t="s">
        <v>101</v>
      </c>
      <c r="X2" s="8"/>
      <c r="Y2" s="12"/>
      <c r="Z2" s="12"/>
      <c r="AA2" s="12"/>
      <c r="AB2" s="12"/>
      <c r="AC2" s="12"/>
      <c r="AD2" s="12"/>
      <c r="AE2" s="12"/>
    </row>
    <row r="3" spans="1:31">
      <c r="A3" s="16" t="s">
        <v>102</v>
      </c>
      <c r="B3" s="17"/>
      <c r="C3" s="18"/>
      <c r="D3" s="18"/>
      <c r="E3" s="18"/>
      <c r="F3" s="18"/>
      <c r="G3" s="18"/>
      <c r="H3" s="18"/>
      <c r="I3" s="18"/>
      <c r="J3" s="19"/>
      <c r="K3" s="20"/>
      <c r="L3" s="20"/>
      <c r="M3" s="20"/>
      <c r="N3" s="20"/>
      <c r="O3" s="21"/>
      <c r="P3" s="20"/>
      <c r="Q3" s="20"/>
      <c r="R3" s="20"/>
      <c r="S3" s="20"/>
      <c r="T3" s="21"/>
      <c r="U3" s="21"/>
      <c r="V3" s="21"/>
      <c r="W3" s="21"/>
      <c r="X3" s="8"/>
      <c r="Y3" s="12"/>
      <c r="Z3" s="12"/>
      <c r="AA3" s="12"/>
      <c r="AB3" s="12"/>
      <c r="AC3" s="12"/>
      <c r="AD3" s="12"/>
      <c r="AE3" s="12"/>
    </row>
    <row r="4" spans="1:31">
      <c r="A4" s="22" t="s">
        <v>103</v>
      </c>
      <c r="C4" s="22">
        <v>2599</v>
      </c>
      <c r="D4" s="22">
        <v>3035.5</v>
      </c>
      <c r="E4" s="22">
        <v>2668.2</v>
      </c>
      <c r="F4" s="22">
        <v>2501.9</v>
      </c>
      <c r="G4" s="22">
        <v>3240.5</v>
      </c>
      <c r="H4" s="22">
        <v>3497.4</v>
      </c>
      <c r="I4" s="22">
        <v>3402</v>
      </c>
      <c r="J4" s="22">
        <v>2937.6</v>
      </c>
      <c r="K4" s="22">
        <v>715</v>
      </c>
      <c r="L4" s="22">
        <v>762</v>
      </c>
      <c r="M4" s="22">
        <v>790.6</v>
      </c>
      <c r="N4" s="22">
        <v>800.9</v>
      </c>
      <c r="O4" s="22">
        <v>3069</v>
      </c>
      <c r="T4" s="22">
        <v>3222</v>
      </c>
      <c r="U4" s="22">
        <v>3383</v>
      </c>
      <c r="V4" s="22">
        <v>3552</v>
      </c>
      <c r="W4" s="22">
        <v>3730</v>
      </c>
    </row>
    <row r="5" spans="1:31">
      <c r="A5" s="22" t="s">
        <v>104</v>
      </c>
      <c r="F5" s="22">
        <v>1920</v>
      </c>
      <c r="G5" s="22">
        <v>2352.6</v>
      </c>
      <c r="H5" s="22">
        <v>2438.4</v>
      </c>
      <c r="I5" s="22">
        <v>2427.6</v>
      </c>
      <c r="J5" s="22">
        <v>2311.3000000000002</v>
      </c>
    </row>
    <row r="6" spans="1:31">
      <c r="A6" s="23" t="s">
        <v>105</v>
      </c>
      <c r="B6" s="23"/>
      <c r="C6" s="23"/>
      <c r="D6" s="23">
        <v>776</v>
      </c>
      <c r="E6" s="23">
        <v>538</v>
      </c>
      <c r="F6" s="23">
        <v>581.9</v>
      </c>
      <c r="G6" s="23">
        <v>887.9</v>
      </c>
      <c r="H6" s="23">
        <v>1059</v>
      </c>
      <c r="I6" s="23">
        <v>974.5</v>
      </c>
      <c r="J6" s="23">
        <v>626.29999999999995</v>
      </c>
      <c r="K6" s="23">
        <v>136</v>
      </c>
      <c r="L6" s="23">
        <v>149</v>
      </c>
      <c r="M6" s="23">
        <v>153.9</v>
      </c>
      <c r="N6" s="23">
        <v>156.80000000000001</v>
      </c>
      <c r="O6" s="23"/>
      <c r="P6" s="23"/>
      <c r="Q6" s="23"/>
      <c r="R6" s="23"/>
      <c r="S6" s="23"/>
      <c r="T6" s="23"/>
      <c r="U6" s="23"/>
      <c r="V6" s="23"/>
      <c r="W6" s="23"/>
      <c r="X6" s="23"/>
      <c r="Y6" s="23"/>
      <c r="Z6" s="23"/>
      <c r="AA6" s="23"/>
      <c r="AB6" s="23"/>
      <c r="AC6" s="23"/>
      <c r="AD6" s="23"/>
      <c r="AE6" s="23"/>
    </row>
    <row r="7" spans="1:31">
      <c r="A7" s="22" t="s">
        <v>106</v>
      </c>
      <c r="F7" s="22">
        <v>371.4</v>
      </c>
      <c r="G7" s="22">
        <v>420.1</v>
      </c>
      <c r="H7" s="22">
        <v>443.5</v>
      </c>
      <c r="I7" s="22">
        <v>488.3</v>
      </c>
      <c r="J7" s="22">
        <v>513.6</v>
      </c>
    </row>
    <row r="8" spans="1:31">
      <c r="A8" s="22" t="s">
        <v>107</v>
      </c>
    </row>
    <row r="9" spans="1:31">
      <c r="A9" s="22" t="s">
        <v>108</v>
      </c>
    </row>
    <row r="10" spans="1:31">
      <c r="A10" s="23" t="s">
        <v>109</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row>
    <row r="11" spans="1:31">
      <c r="A11" s="22" t="s">
        <v>110</v>
      </c>
      <c r="D11" s="22">
        <v>435</v>
      </c>
      <c r="E11" s="22">
        <v>158</v>
      </c>
      <c r="F11" s="22">
        <v>209.7</v>
      </c>
      <c r="G11" s="22">
        <v>467.8</v>
      </c>
      <c r="H11" s="22">
        <v>615.5</v>
      </c>
      <c r="I11" s="22">
        <v>486.1</v>
      </c>
      <c r="J11" s="22">
        <v>5.6</v>
      </c>
      <c r="K11" s="22">
        <v>0.8</v>
      </c>
      <c r="L11" s="22">
        <v>10.6</v>
      </c>
      <c r="M11" s="22">
        <v>19.100000000000001</v>
      </c>
      <c r="N11" s="22">
        <v>14.8</v>
      </c>
      <c r="O11" s="22">
        <v>56.9</v>
      </c>
      <c r="T11" s="22">
        <v>160</v>
      </c>
      <c r="U11" s="22">
        <v>310</v>
      </c>
      <c r="V11" s="22">
        <v>490</v>
      </c>
      <c r="W11" s="22">
        <v>560</v>
      </c>
    </row>
    <row r="12" spans="1:31">
      <c r="A12" s="22" t="s">
        <v>111</v>
      </c>
    </row>
    <row r="13" spans="1:31">
      <c r="A13" s="23" t="s">
        <v>112</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row>
    <row r="14" spans="1:31">
      <c r="A14" s="22" t="s">
        <v>113</v>
      </c>
    </row>
    <row r="15" spans="1:31">
      <c r="A15" s="22" t="s">
        <v>114</v>
      </c>
    </row>
    <row r="16" spans="1:31">
      <c r="A16" s="22" t="s">
        <v>115</v>
      </c>
      <c r="C16" s="22">
        <v>-109</v>
      </c>
      <c r="D16" s="22">
        <v>346</v>
      </c>
      <c r="E16" s="22">
        <v>164</v>
      </c>
      <c r="F16" s="22">
        <v>122.9</v>
      </c>
      <c r="G16" s="22">
        <v>298</v>
      </c>
      <c r="H16" s="22">
        <v>428.8</v>
      </c>
      <c r="I16" s="22">
        <v>323.8</v>
      </c>
      <c r="J16" s="22">
        <v>-31.1</v>
      </c>
      <c r="K16" s="22">
        <v>-4.0999999999999996</v>
      </c>
      <c r="L16" s="22">
        <v>2</v>
      </c>
      <c r="M16" s="22">
        <v>-7.9</v>
      </c>
      <c r="N16" s="22">
        <v>1</v>
      </c>
      <c r="O16" s="22">
        <v>-9</v>
      </c>
      <c r="T16" s="22">
        <v>90</v>
      </c>
      <c r="U16" s="22">
        <v>200</v>
      </c>
      <c r="V16" s="22">
        <v>340</v>
      </c>
      <c r="W16" s="22">
        <v>410</v>
      </c>
    </row>
    <row r="17" spans="1:31">
      <c r="A17" s="22" t="s">
        <v>116</v>
      </c>
    </row>
    <row r="18" spans="1:31">
      <c r="A18" s="22" t="s">
        <v>117</v>
      </c>
      <c r="H18" s="24">
        <v>7.9000000000000001E-2</v>
      </c>
      <c r="I18" s="24">
        <v>-2.7E-2</v>
      </c>
      <c r="J18" s="24">
        <v>-0.13700000000000001</v>
      </c>
    </row>
    <row r="19" spans="1:31">
      <c r="A19" s="22" t="s">
        <v>118</v>
      </c>
      <c r="H19" s="24">
        <v>0.69699999999999995</v>
      </c>
      <c r="I19" s="24">
        <v>0.71399999999999997</v>
      </c>
      <c r="J19" s="24">
        <v>0.78700000000000003</v>
      </c>
    </row>
    <row r="20" spans="1:31">
      <c r="A20" s="22" t="s">
        <v>119</v>
      </c>
      <c r="H20" s="24">
        <v>0.30299999999999999</v>
      </c>
      <c r="I20" s="24">
        <v>0.28599999999999998</v>
      </c>
      <c r="J20" s="24">
        <v>0.21299999999999999</v>
      </c>
    </row>
    <row r="21" spans="1:31">
      <c r="A21" s="22" t="s">
        <v>120</v>
      </c>
      <c r="H21" s="24">
        <v>0.217</v>
      </c>
      <c r="I21" s="24">
        <v>0.184</v>
      </c>
      <c r="J21" s="24">
        <v>5.8000000000000003E-2</v>
      </c>
    </row>
    <row r="22" spans="1:31">
      <c r="A22" s="22" t="s">
        <v>121</v>
      </c>
      <c r="H22" s="24">
        <v>0.17599999999999999</v>
      </c>
      <c r="I22" s="24">
        <v>0.14299999999999999</v>
      </c>
      <c r="J22" s="24">
        <v>2E-3</v>
      </c>
    </row>
    <row r="23" spans="1:31">
      <c r="A23" s="22" t="s">
        <v>122</v>
      </c>
      <c r="H23" s="24">
        <v>0.123</v>
      </c>
      <c r="I23" s="24">
        <v>9.5000000000000001E-2</v>
      </c>
      <c r="J23" s="24">
        <v>-1.0999999999999999E-2</v>
      </c>
    </row>
    <row r="25" spans="1:31">
      <c r="A25" s="22" t="s">
        <v>123</v>
      </c>
    </row>
    <row r="26" spans="1:31">
      <c r="A26" s="20"/>
      <c r="B26" s="20"/>
      <c r="C26" s="21"/>
      <c r="D26" s="21"/>
      <c r="E26" s="21"/>
      <c r="F26" s="21"/>
      <c r="G26" s="21"/>
      <c r="H26" s="21"/>
      <c r="I26" s="21"/>
      <c r="J26" s="25"/>
      <c r="K26" s="20"/>
      <c r="L26" s="20"/>
      <c r="M26" s="20"/>
      <c r="N26" s="20"/>
      <c r="O26" s="21"/>
      <c r="P26" s="20"/>
      <c r="Q26" s="20"/>
      <c r="R26" s="20"/>
      <c r="S26" s="20"/>
      <c r="T26" s="21"/>
      <c r="U26" s="21"/>
      <c r="V26" s="21"/>
      <c r="W26" s="21"/>
      <c r="X26" s="26"/>
      <c r="Y26" s="26"/>
      <c r="Z26" s="26"/>
      <c r="AA26" s="26"/>
      <c r="AB26" s="26"/>
      <c r="AC26" s="26"/>
      <c r="AD26" s="26"/>
      <c r="AE26" s="26"/>
    </row>
    <row r="27" spans="1:31">
      <c r="A27" s="20"/>
      <c r="B27" s="20"/>
      <c r="C27" s="21"/>
      <c r="D27" s="21"/>
      <c r="E27" s="21"/>
      <c r="F27" s="21"/>
      <c r="G27" s="21"/>
      <c r="H27" s="21"/>
      <c r="I27" s="21"/>
      <c r="J27" s="25"/>
      <c r="K27" s="20"/>
      <c r="L27" s="20"/>
      <c r="M27" s="20"/>
      <c r="N27" s="20"/>
      <c r="O27" s="21"/>
      <c r="P27" s="20"/>
      <c r="Q27" s="20"/>
      <c r="R27" s="20"/>
      <c r="S27" s="20"/>
      <c r="T27" s="21"/>
      <c r="U27" s="21"/>
      <c r="V27" s="21"/>
      <c r="W27" s="21"/>
      <c r="X27" s="26"/>
      <c r="Y27" s="26"/>
      <c r="Z27" s="26"/>
      <c r="AA27" s="26"/>
      <c r="AB27" s="26"/>
      <c r="AC27" s="26"/>
      <c r="AD27" s="26"/>
      <c r="AE27" s="26"/>
    </row>
    <row r="28" spans="1:31">
      <c r="A28" s="20"/>
      <c r="B28" s="20"/>
      <c r="C28" s="21"/>
      <c r="D28" s="21"/>
      <c r="E28" s="21"/>
      <c r="F28" s="21"/>
      <c r="G28" s="21"/>
      <c r="H28" s="21"/>
      <c r="I28" s="21"/>
      <c r="J28" s="25"/>
      <c r="K28" s="20"/>
      <c r="L28" s="20"/>
      <c r="M28" s="20"/>
      <c r="N28" s="20"/>
      <c r="O28" s="21"/>
      <c r="P28" s="20"/>
      <c r="Q28" s="20"/>
      <c r="R28" s="20"/>
      <c r="S28" s="20"/>
      <c r="T28" s="21"/>
      <c r="U28" s="21"/>
      <c r="V28" s="21"/>
      <c r="W28" s="21"/>
      <c r="X28" s="26"/>
      <c r="Y28" s="26"/>
      <c r="Z28" s="26"/>
      <c r="AA28" s="26"/>
      <c r="AB28" s="26"/>
      <c r="AC28" s="26"/>
      <c r="AD28" s="26"/>
      <c r="AE28" s="26"/>
    </row>
    <row r="29" spans="1:31">
      <c r="A29" s="27" t="s">
        <v>124</v>
      </c>
      <c r="B29" s="28"/>
      <c r="C29" s="29"/>
      <c r="D29" s="29"/>
      <c r="E29" s="29"/>
      <c r="F29" s="29"/>
      <c r="G29" s="29"/>
      <c r="H29" s="29"/>
      <c r="I29" s="29"/>
      <c r="J29" s="30"/>
      <c r="K29" s="20"/>
      <c r="L29" s="20"/>
      <c r="M29" s="20"/>
      <c r="N29" s="20"/>
      <c r="O29" s="21"/>
      <c r="P29" s="20"/>
      <c r="Q29" s="20"/>
      <c r="R29" s="20"/>
      <c r="S29" s="20"/>
      <c r="T29" s="21"/>
      <c r="U29" s="21"/>
      <c r="V29" s="21"/>
      <c r="W29" s="21"/>
      <c r="X29" s="26"/>
      <c r="Y29" s="26"/>
      <c r="Z29" s="26"/>
      <c r="AA29" s="26"/>
      <c r="AB29" s="26"/>
      <c r="AC29" s="26"/>
      <c r="AD29" s="26"/>
      <c r="AE29" s="26"/>
    </row>
    <row r="30" spans="1:31">
      <c r="A30" s="22" t="s">
        <v>125</v>
      </c>
    </row>
    <row r="31" spans="1:31">
      <c r="A31" s="22" t="s">
        <v>126</v>
      </c>
      <c r="E31" s="22">
        <v>507</v>
      </c>
      <c r="F31" s="22">
        <v>619.9</v>
      </c>
      <c r="G31" s="22">
        <v>774.1</v>
      </c>
      <c r="H31" s="22">
        <v>610.79999999999995</v>
      </c>
      <c r="I31" s="22">
        <v>972.7</v>
      </c>
      <c r="J31" s="22">
        <v>590.29999999999995</v>
      </c>
      <c r="K31" s="22">
        <v>590.29999999999995</v>
      </c>
      <c r="N31" s="22">
        <v>515</v>
      </c>
      <c r="O31" s="22">
        <v>515</v>
      </c>
    </row>
    <row r="32" spans="1:31">
      <c r="A32" s="22" t="s">
        <v>127</v>
      </c>
    </row>
    <row r="33" spans="1:31">
      <c r="A33" s="22" t="s">
        <v>128</v>
      </c>
    </row>
    <row r="34" spans="1:31">
      <c r="A34" s="22" t="s">
        <v>129</v>
      </c>
    </row>
    <row r="35" spans="1:31">
      <c r="A35" s="23" t="s">
        <v>130</v>
      </c>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row>
    <row r="36" spans="1:31">
      <c r="A36" s="22" t="s">
        <v>131</v>
      </c>
      <c r="D36" s="22">
        <v>0</v>
      </c>
      <c r="E36" s="22">
        <v>0</v>
      </c>
      <c r="F36" s="22">
        <v>0</v>
      </c>
      <c r="G36" s="22">
        <v>0</v>
      </c>
      <c r="H36" s="22">
        <v>0</v>
      </c>
      <c r="I36" s="22">
        <v>0</v>
      </c>
      <c r="J36" s="22">
        <v>0</v>
      </c>
    </row>
    <row r="38" spans="1:31">
      <c r="A38" s="22" t="s">
        <v>132</v>
      </c>
    </row>
    <row r="39" spans="1:31">
      <c r="A39" s="22" t="s">
        <v>133</v>
      </c>
    </row>
    <row r="41" spans="1:31">
      <c r="A41" s="22" t="s">
        <v>134</v>
      </c>
    </row>
    <row r="42" spans="1:31">
      <c r="A42" s="23" t="s">
        <v>135</v>
      </c>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row>
    <row r="43" spans="1:31">
      <c r="A43" s="22" t="s">
        <v>136</v>
      </c>
      <c r="D43" s="22">
        <v>0</v>
      </c>
      <c r="E43" s="22">
        <v>0</v>
      </c>
      <c r="F43" s="22">
        <v>0</v>
      </c>
      <c r="G43" s="22">
        <v>0</v>
      </c>
      <c r="H43" s="22">
        <v>0</v>
      </c>
      <c r="I43" s="22">
        <v>0</v>
      </c>
      <c r="J43" s="22">
        <v>0</v>
      </c>
    </row>
    <row r="44" spans="1:31">
      <c r="A44" s="22" t="s">
        <v>137</v>
      </c>
      <c r="D44" s="22">
        <v>0</v>
      </c>
      <c r="E44" s="22">
        <v>3154</v>
      </c>
      <c r="F44" s="22">
        <v>3210</v>
      </c>
      <c r="G44" s="22">
        <v>3543</v>
      </c>
      <c r="H44" s="22">
        <v>3866</v>
      </c>
      <c r="I44" s="22">
        <v>4240</v>
      </c>
      <c r="J44" s="22">
        <v>4111</v>
      </c>
      <c r="O44" s="22">
        <v>4234</v>
      </c>
    </row>
    <row r="46" spans="1:31">
      <c r="A46" s="22" t="s">
        <v>138</v>
      </c>
    </row>
    <row r="47" spans="1:31">
      <c r="A47" s="22" t="s">
        <v>139</v>
      </c>
    </row>
    <row r="50" spans="1:31">
      <c r="A50" s="23" t="s">
        <v>140</v>
      </c>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row>
    <row r="51" spans="1:31">
      <c r="A51" s="22" t="s">
        <v>141</v>
      </c>
      <c r="D51" s="22">
        <v>0</v>
      </c>
      <c r="E51" s="22">
        <v>0</v>
      </c>
      <c r="F51" s="22">
        <v>0</v>
      </c>
      <c r="G51" s="22">
        <v>0</v>
      </c>
      <c r="H51" s="22">
        <v>0</v>
      </c>
      <c r="I51" s="22">
        <v>0</v>
      </c>
      <c r="J51" s="22">
        <v>0</v>
      </c>
    </row>
    <row r="52" spans="1:31">
      <c r="A52" s="22" t="s">
        <v>142</v>
      </c>
      <c r="D52" s="22">
        <v>0</v>
      </c>
      <c r="E52" s="22">
        <v>0</v>
      </c>
      <c r="F52" s="22">
        <v>1575</v>
      </c>
      <c r="G52" s="22">
        <v>1797</v>
      </c>
      <c r="H52" s="22">
        <v>1816</v>
      </c>
      <c r="I52" s="22">
        <v>2039</v>
      </c>
      <c r="J52" s="22">
        <v>2082</v>
      </c>
      <c r="O52" s="22">
        <v>2146</v>
      </c>
    </row>
    <row r="54" spans="1:31">
      <c r="A54" s="23" t="s">
        <v>143</v>
      </c>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row>
    <row r="55" spans="1:31">
      <c r="A55" s="22" t="s">
        <v>144</v>
      </c>
      <c r="D55" s="22">
        <v>0</v>
      </c>
      <c r="E55" s="22">
        <v>1580</v>
      </c>
      <c r="F55" s="22">
        <v>1579</v>
      </c>
      <c r="G55" s="22">
        <v>1747</v>
      </c>
      <c r="H55" s="22">
        <v>2050</v>
      </c>
      <c r="I55" s="22">
        <v>2196</v>
      </c>
      <c r="J55" s="22">
        <v>2029</v>
      </c>
      <c r="O55" s="22">
        <v>2088</v>
      </c>
    </row>
    <row r="57" spans="1:31">
      <c r="A57" s="22" t="s">
        <v>145</v>
      </c>
      <c r="D57" s="22">
        <v>0</v>
      </c>
      <c r="E57" s="22">
        <v>0</v>
      </c>
      <c r="F57" s="22">
        <v>0</v>
      </c>
      <c r="G57" s="22">
        <v>0</v>
      </c>
      <c r="H57" s="22">
        <v>0</v>
      </c>
      <c r="I57" s="22">
        <v>0</v>
      </c>
      <c r="J57" s="22">
        <v>0</v>
      </c>
    </row>
    <row r="61" spans="1:31">
      <c r="A61" s="27" t="s">
        <v>146</v>
      </c>
      <c r="B61" s="28"/>
      <c r="C61" s="29"/>
      <c r="D61" s="29"/>
      <c r="E61" s="29"/>
      <c r="F61" s="29"/>
      <c r="G61" s="29"/>
      <c r="H61" s="29"/>
      <c r="I61" s="29"/>
      <c r="J61" s="30"/>
      <c r="K61" s="20"/>
      <c r="L61" s="20"/>
      <c r="M61" s="20"/>
      <c r="N61" s="20"/>
      <c r="O61" s="21"/>
      <c r="P61" s="20"/>
      <c r="Q61" s="20"/>
      <c r="R61" s="20"/>
      <c r="S61" s="20"/>
      <c r="T61" s="21"/>
      <c r="U61" s="21"/>
      <c r="V61" s="21"/>
      <c r="W61" s="21"/>
      <c r="X61" s="26"/>
      <c r="Y61" s="26"/>
      <c r="Z61" s="26"/>
      <c r="AA61" s="26"/>
      <c r="AB61" s="26"/>
      <c r="AC61" s="26"/>
      <c r="AD61" s="26"/>
      <c r="AE61" s="26"/>
    </row>
    <row r="62" spans="1:31">
      <c r="A62" s="22" t="s">
        <v>8</v>
      </c>
    </row>
    <row r="63" spans="1:31">
      <c r="A63" s="22" t="s">
        <v>147</v>
      </c>
    </row>
    <row r="64" spans="1:31">
      <c r="A64" s="23" t="s">
        <v>148</v>
      </c>
      <c r="B64" s="23"/>
      <c r="C64" s="23"/>
      <c r="D64" s="23"/>
      <c r="E64" s="23"/>
      <c r="F64" s="23"/>
      <c r="G64" s="23"/>
      <c r="H64" s="23">
        <v>144.30000000000001</v>
      </c>
      <c r="I64" s="23">
        <v>141.19999999999999</v>
      </c>
      <c r="J64" s="23">
        <v>165.7</v>
      </c>
      <c r="K64" s="23"/>
      <c r="L64" s="23"/>
      <c r="M64" s="23"/>
      <c r="N64" s="23"/>
      <c r="O64" s="23"/>
      <c r="P64" s="23"/>
      <c r="Q64" s="23"/>
      <c r="R64" s="23"/>
      <c r="S64" s="23"/>
      <c r="T64" s="23"/>
      <c r="U64" s="23"/>
      <c r="V64" s="23"/>
      <c r="W64" s="23"/>
      <c r="X64" s="23"/>
      <c r="Y64" s="23"/>
      <c r="Z64" s="23"/>
      <c r="AA64" s="23"/>
      <c r="AB64" s="23"/>
      <c r="AC64" s="23"/>
      <c r="AD64" s="23"/>
      <c r="AE64" s="23"/>
    </row>
    <row r="65" spans="1:31">
      <c r="A65" s="23" t="s">
        <v>149</v>
      </c>
      <c r="B65" s="23"/>
      <c r="C65" s="23"/>
      <c r="D65" s="23">
        <v>0</v>
      </c>
      <c r="E65" s="23">
        <v>0</v>
      </c>
      <c r="F65" s="23">
        <v>0</v>
      </c>
      <c r="G65" s="23">
        <v>0</v>
      </c>
      <c r="H65" s="23">
        <v>0</v>
      </c>
      <c r="I65" s="23">
        <v>0</v>
      </c>
      <c r="J65" s="23">
        <v>0</v>
      </c>
      <c r="K65" s="23"/>
      <c r="L65" s="23"/>
      <c r="M65" s="23"/>
      <c r="N65" s="23"/>
      <c r="O65" s="23"/>
      <c r="P65" s="23"/>
      <c r="Q65" s="23"/>
      <c r="R65" s="23"/>
      <c r="S65" s="23"/>
      <c r="T65" s="23"/>
      <c r="U65" s="23"/>
      <c r="V65" s="23"/>
      <c r="W65" s="23"/>
      <c r="X65" s="23"/>
      <c r="Y65" s="23"/>
      <c r="Z65" s="23"/>
      <c r="AA65" s="23"/>
      <c r="AB65" s="23"/>
      <c r="AC65" s="23"/>
      <c r="AD65" s="23"/>
      <c r="AE65" s="23"/>
    </row>
    <row r="66" spans="1:31">
      <c r="A66" s="22" t="s">
        <v>150</v>
      </c>
      <c r="D66" s="22">
        <v>0</v>
      </c>
      <c r="E66" s="22">
        <v>0</v>
      </c>
      <c r="F66" s="22">
        <v>257.8</v>
      </c>
      <c r="G66" s="22">
        <v>457.1</v>
      </c>
      <c r="H66" s="22">
        <v>484.3</v>
      </c>
      <c r="I66" s="22">
        <v>365.7</v>
      </c>
      <c r="J66" s="22">
        <v>173.7</v>
      </c>
      <c r="K66" s="22">
        <v>16</v>
      </c>
      <c r="L66" s="22">
        <v>-9</v>
      </c>
      <c r="M66" s="22">
        <v>149.4</v>
      </c>
      <c r="O66" s="22">
        <v>184.3</v>
      </c>
    </row>
    <row r="68" spans="1:31">
      <c r="A68" s="22" t="s">
        <v>151</v>
      </c>
    </row>
    <row r="69" spans="1:31">
      <c r="A69" s="23" t="s">
        <v>152</v>
      </c>
      <c r="B69" s="23"/>
      <c r="C69" s="23"/>
      <c r="D69" s="23"/>
      <c r="E69" s="23"/>
      <c r="F69" s="23">
        <v>-101.2</v>
      </c>
      <c r="G69" s="23">
        <v>-303.8</v>
      </c>
      <c r="H69" s="23">
        <v>-325.3</v>
      </c>
      <c r="I69" s="23">
        <v>-329.4</v>
      </c>
      <c r="J69" s="23">
        <v>-320.10000000000002</v>
      </c>
      <c r="K69" s="23">
        <v>-62</v>
      </c>
      <c r="L69" s="23">
        <v>-65</v>
      </c>
      <c r="M69" s="23">
        <v>-94.8</v>
      </c>
      <c r="N69" s="23"/>
      <c r="O69" s="23">
        <v>-273.3</v>
      </c>
      <c r="P69" s="23"/>
      <c r="Q69" s="23"/>
      <c r="R69" s="23"/>
      <c r="S69" s="23"/>
      <c r="T69" s="23">
        <v>-420</v>
      </c>
      <c r="U69" s="23">
        <v>-350</v>
      </c>
      <c r="V69" s="23">
        <v>-300</v>
      </c>
      <c r="W69" s="23">
        <v>-250</v>
      </c>
      <c r="X69" s="23"/>
      <c r="Y69" s="23"/>
      <c r="Z69" s="23"/>
      <c r="AA69" s="23"/>
      <c r="AB69" s="23"/>
      <c r="AC69" s="23"/>
      <c r="AD69" s="23"/>
      <c r="AE69" s="23"/>
    </row>
    <row r="70" spans="1:31">
      <c r="A70" s="22" t="s">
        <v>153</v>
      </c>
      <c r="D70" s="22">
        <v>0</v>
      </c>
      <c r="E70" s="22">
        <v>0</v>
      </c>
      <c r="F70" s="22">
        <v>0</v>
      </c>
      <c r="G70" s="22">
        <v>0</v>
      </c>
      <c r="H70" s="22">
        <v>0</v>
      </c>
      <c r="I70" s="22">
        <v>0</v>
      </c>
      <c r="J70" s="22">
        <v>0</v>
      </c>
    </row>
    <row r="72" spans="1:31">
      <c r="A72" s="22" t="s">
        <v>154</v>
      </c>
    </row>
    <row r="74" spans="1:31">
      <c r="A74" s="22" t="s">
        <v>155</v>
      </c>
      <c r="H74" s="22">
        <v>-53.4</v>
      </c>
      <c r="I74" s="22">
        <v>-54.7</v>
      </c>
      <c r="J74" s="22">
        <v>-55.6</v>
      </c>
      <c r="O74" s="22">
        <v>-54.2</v>
      </c>
    </row>
    <row r="75" spans="1:31">
      <c r="A75" s="23" t="s">
        <v>156</v>
      </c>
      <c r="B75" s="23"/>
      <c r="C75" s="23"/>
      <c r="D75" s="23"/>
      <c r="E75" s="23"/>
      <c r="F75" s="23"/>
      <c r="G75" s="23"/>
      <c r="H75" s="23">
        <v>-79.5</v>
      </c>
      <c r="I75" s="23">
        <v>-50.4</v>
      </c>
      <c r="J75" s="23">
        <v>-78.7</v>
      </c>
      <c r="K75" s="23"/>
      <c r="L75" s="23"/>
      <c r="M75" s="23"/>
      <c r="N75" s="23"/>
      <c r="O75" s="23">
        <v>-12.5</v>
      </c>
      <c r="P75" s="23"/>
      <c r="Q75" s="23"/>
      <c r="R75" s="23"/>
      <c r="S75" s="23"/>
      <c r="T75" s="23"/>
      <c r="U75" s="23"/>
      <c r="V75" s="23"/>
      <c r="W75" s="23"/>
      <c r="X75" s="23"/>
      <c r="Y75" s="23"/>
      <c r="Z75" s="23"/>
      <c r="AA75" s="23"/>
      <c r="AB75" s="23"/>
      <c r="AC75" s="23"/>
      <c r="AD75" s="23"/>
      <c r="AE75" s="23"/>
    </row>
    <row r="76" spans="1:31">
      <c r="A76" s="22" t="s">
        <v>157</v>
      </c>
      <c r="D76" s="22">
        <v>0</v>
      </c>
      <c r="E76" s="22">
        <v>0</v>
      </c>
      <c r="F76" s="22">
        <v>0</v>
      </c>
      <c r="G76" s="22">
        <v>0</v>
      </c>
      <c r="H76" s="22">
        <v>0</v>
      </c>
      <c r="I76" s="22">
        <v>0</v>
      </c>
      <c r="J76" s="22">
        <v>0</v>
      </c>
    </row>
    <row r="77" spans="1:31">
      <c r="A77" s="22" t="s">
        <v>158</v>
      </c>
    </row>
    <row r="78" spans="1:31">
      <c r="A78" s="22" t="s">
        <v>159</v>
      </c>
    </row>
    <row r="79" spans="1:31">
      <c r="A79" s="22" t="s">
        <v>10</v>
      </c>
      <c r="H79" s="22">
        <v>1011.6</v>
      </c>
      <c r="I79" s="22">
        <v>1046.8</v>
      </c>
      <c r="J79" s="22">
        <v>765.2</v>
      </c>
    </row>
    <row r="80" spans="1:31">
      <c r="A80" s="22" t="s">
        <v>160</v>
      </c>
      <c r="H80" s="22">
        <v>706.7</v>
      </c>
      <c r="I80" s="22">
        <v>651.9</v>
      </c>
      <c r="J80" s="22">
        <v>531.29999999999995</v>
      </c>
    </row>
    <row r="81" spans="1:10">
      <c r="A81" s="22" t="s">
        <v>161</v>
      </c>
      <c r="H81" s="22">
        <v>284.10000000000002</v>
      </c>
      <c r="I81" s="22">
        <v>247.6</v>
      </c>
      <c r="J81" s="22">
        <v>191.1</v>
      </c>
    </row>
    <row r="82" spans="1:10">
      <c r="A82" s="22" t="s">
        <v>20</v>
      </c>
      <c r="H82" s="22">
        <v>746.5</v>
      </c>
      <c r="I82" s="22">
        <v>712.1</v>
      </c>
      <c r="J82" s="22">
        <v>676</v>
      </c>
    </row>
    <row r="83" spans="1:10">
      <c r="A83" s="22" t="s">
        <v>24</v>
      </c>
      <c r="H83" s="22">
        <v>345</v>
      </c>
      <c r="I83" s="22">
        <v>341.3</v>
      </c>
      <c r="J83" s="22">
        <v>318.5</v>
      </c>
    </row>
    <row r="84" spans="1:10">
      <c r="A84" s="22" t="s">
        <v>29</v>
      </c>
      <c r="H84" s="22">
        <v>403.5</v>
      </c>
      <c r="I84" s="22">
        <v>402.3</v>
      </c>
      <c r="J84" s="22">
        <v>455.5</v>
      </c>
    </row>
    <row r="85" spans="1:10">
      <c r="A85" s="22" t="s">
        <v>162</v>
      </c>
      <c r="H85" s="22">
        <v>3497.4</v>
      </c>
      <c r="I85" s="22">
        <v>3402</v>
      </c>
      <c r="J85" s="22">
        <v>2937.6</v>
      </c>
    </row>
    <row r="87" spans="1:10">
      <c r="A87" s="22" t="s">
        <v>163</v>
      </c>
    </row>
    <row r="88" spans="1:10">
      <c r="A88" s="22" t="s">
        <v>164</v>
      </c>
      <c r="H88" s="24">
        <v>0.28899999999999998</v>
      </c>
      <c r="I88" s="24">
        <v>0.308</v>
      </c>
      <c r="J88" s="24">
        <v>0.26</v>
      </c>
    </row>
    <row r="89" spans="1:10">
      <c r="A89" s="22" t="s">
        <v>165</v>
      </c>
      <c r="H89" s="24">
        <v>0.20200000000000001</v>
      </c>
      <c r="I89" s="24">
        <v>0.192</v>
      </c>
      <c r="J89" s="24">
        <v>0.18099999999999999</v>
      </c>
    </row>
    <row r="90" spans="1:10">
      <c r="A90" s="22" t="s">
        <v>166</v>
      </c>
      <c r="H90" s="24">
        <v>8.1000000000000003E-2</v>
      </c>
      <c r="I90" s="24">
        <v>7.2999999999999995E-2</v>
      </c>
      <c r="J90" s="24">
        <v>6.5000000000000002E-2</v>
      </c>
    </row>
    <row r="91" spans="1:10">
      <c r="A91" s="22" t="s">
        <v>167</v>
      </c>
      <c r="H91" s="24">
        <v>0.21299999999999999</v>
      </c>
      <c r="I91" s="24">
        <v>0.20899999999999999</v>
      </c>
      <c r="J91" s="24">
        <v>0.23</v>
      </c>
    </row>
    <row r="92" spans="1:10">
      <c r="A92" s="22" t="s">
        <v>168</v>
      </c>
      <c r="H92" s="24">
        <v>9.9000000000000005E-2</v>
      </c>
      <c r="I92" s="24">
        <v>0.1</v>
      </c>
      <c r="J92" s="24">
        <v>0.108</v>
      </c>
    </row>
    <row r="93" spans="1:10">
      <c r="A93" s="22" t="s">
        <v>169</v>
      </c>
      <c r="H93" s="24">
        <v>0.115</v>
      </c>
      <c r="I93" s="24">
        <v>0.11799999999999999</v>
      </c>
      <c r="J93" s="24">
        <v>0.155</v>
      </c>
    </row>
    <row r="95" spans="1:10">
      <c r="A95" s="22" t="s">
        <v>170</v>
      </c>
    </row>
    <row r="96" spans="1:10">
      <c r="A96" s="22" t="s">
        <v>171</v>
      </c>
      <c r="H96" s="24">
        <v>0.312</v>
      </c>
      <c r="I96" s="24">
        <v>0.28399999999999997</v>
      </c>
      <c r="J96" s="24">
        <v>0.192</v>
      </c>
    </row>
    <row r="97" spans="1:26">
      <c r="A97" s="22" t="s">
        <v>172</v>
      </c>
      <c r="H97" s="24">
        <v>0.29499999999999998</v>
      </c>
      <c r="I97" s="24">
        <v>0.29099999999999998</v>
      </c>
      <c r="J97" s="24">
        <v>0.26500000000000001</v>
      </c>
    </row>
    <row r="98" spans="1:26">
      <c r="A98" s="22" t="s">
        <v>173</v>
      </c>
    </row>
    <row r="99" spans="1:26">
      <c r="A99" s="22" t="s">
        <v>159</v>
      </c>
    </row>
    <row r="100" spans="1:26">
      <c r="A100" s="22" t="s">
        <v>163</v>
      </c>
    </row>
    <row r="101" spans="1:26">
      <c r="A101" s="22" t="s">
        <v>174</v>
      </c>
    </row>
    <row r="102" spans="1:26">
      <c r="A102" s="22" t="s">
        <v>175</v>
      </c>
      <c r="X102" s="24">
        <v>0.56000000000000005</v>
      </c>
      <c r="Y102" s="24">
        <v>0.56000000000000005</v>
      </c>
      <c r="Z102" s="24">
        <v>0.56000000000000005</v>
      </c>
    </row>
    <row r="104" spans="1:26">
      <c r="A104" s="22" t="s">
        <v>176</v>
      </c>
    </row>
    <row r="105" spans="1:26">
      <c r="A105" s="22" t="s">
        <v>177</v>
      </c>
    </row>
    <row r="106" spans="1:26">
      <c r="A106" s="22" t="s">
        <v>178</v>
      </c>
    </row>
    <row r="126" spans="1:31">
      <c r="A126" s="31"/>
      <c r="B126" s="31"/>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row>
    <row r="127" spans="1:31">
      <c r="A127" s="31"/>
      <c r="B127" s="31"/>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row>
    <row r="128" spans="1:31">
      <c r="A128" s="31"/>
      <c r="B128" s="31"/>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row>
    <row r="129" spans="1:31">
      <c r="A129" s="31"/>
      <c r="B129" s="31"/>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row>
    <row r="130" spans="1:31">
      <c r="A130" s="31"/>
      <c r="B130" s="31"/>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row>
    <row r="131" spans="1:31">
      <c r="A131" s="31"/>
      <c r="B131" s="31"/>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row>
    <row r="132" spans="1:31">
      <c r="A132" s="31"/>
      <c r="B132" s="31"/>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row>
    <row r="133" spans="1:31">
      <c r="A133" s="31"/>
      <c r="B133" s="31"/>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row>
    <row r="134" spans="1:31">
      <c r="A134" s="31"/>
      <c r="B134" s="31"/>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row>
    <row r="135" spans="1:31">
      <c r="A135" s="31"/>
      <c r="B135" s="31"/>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row>
    <row r="136" spans="1:31">
      <c r="A136" s="31"/>
      <c r="B136" s="31"/>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row>
    <row r="137" spans="1:31">
      <c r="A137" s="31"/>
      <c r="B137" s="31"/>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row>
    <row r="138" spans="1:31">
      <c r="A138" s="31"/>
      <c r="B138" s="31"/>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row>
    <row r="139" spans="1:31">
      <c r="A139" s="31"/>
      <c r="B139" s="31"/>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row>
    <row r="140" spans="1:31">
      <c r="A140" s="31"/>
      <c r="B140" s="31"/>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row>
    <row r="141" spans="1:31">
      <c r="A141" s="31"/>
      <c r="B141" s="31"/>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row>
    <row r="142" spans="1:31">
      <c r="A142" s="31"/>
      <c r="B142" s="31"/>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row>
    <row r="143" spans="1:31">
      <c r="A143" s="31"/>
      <c r="B143" s="31"/>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row>
    <row r="144" spans="1:31">
      <c r="A144" s="31"/>
      <c r="B144" s="31"/>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row>
    <row r="145" spans="1:31">
      <c r="A145" s="31"/>
      <c r="B145" s="31"/>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row>
    <row r="146" spans="1:31">
      <c r="A146" s="31"/>
      <c r="B146" s="31"/>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row>
    <row r="147" spans="1:31">
      <c r="A147" s="31"/>
      <c r="B147" s="31"/>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row>
    <row r="148" spans="1:31">
      <c r="A148" s="31"/>
      <c r="B148" s="31"/>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row>
    <row r="149" spans="1:31">
      <c r="A149" s="31"/>
      <c r="B149" s="31"/>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row>
    <row r="150" spans="1:31">
      <c r="A150" s="31"/>
      <c r="B150" s="31"/>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row>
    <row r="151" spans="1:31">
      <c r="A151" s="31"/>
      <c r="B151" s="31"/>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row>
    <row r="152" spans="1:31">
      <c r="A152" s="31"/>
      <c r="B152" s="31"/>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row>
    <row r="153" spans="1:31">
      <c r="A153" s="31"/>
      <c r="B153" s="31"/>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row>
    <row r="154" spans="1:31">
      <c r="A154" s="31"/>
      <c r="B154" s="31"/>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row>
    <row r="155" spans="1:31">
      <c r="A155" s="31"/>
      <c r="B155" s="31"/>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row>
    <row r="156" spans="1:31">
      <c r="A156" s="31"/>
      <c r="B156" s="31"/>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row>
    <row r="157" spans="1:31">
      <c r="A157" s="31"/>
      <c r="B157" s="31"/>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row>
    <row r="158" spans="1:31">
      <c r="A158" s="31"/>
      <c r="B158" s="31"/>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row>
    <row r="159" spans="1:31">
      <c r="A159" s="31"/>
      <c r="B159" s="31"/>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row>
    <row r="160" spans="1:31">
      <c r="A160" s="31"/>
      <c r="B160" s="31"/>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row>
    <row r="161" spans="1:31">
      <c r="A161" s="31"/>
      <c r="B161" s="31"/>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row>
    <row r="162" spans="1:31">
      <c r="A162" s="31"/>
      <c r="B162" s="31"/>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row>
    <row r="163" spans="1:31">
      <c r="A163" s="31"/>
      <c r="B163" s="31"/>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row>
    <row r="164" spans="1:31">
      <c r="A164" s="31"/>
      <c r="B164" s="31"/>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row>
    <row r="165" spans="1:31">
      <c r="A165" s="31"/>
      <c r="B165" s="31"/>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row>
    <row r="166" spans="1:31">
      <c r="A166" s="31"/>
      <c r="B166" s="31"/>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row>
    <row r="167" spans="1:31">
      <c r="A167" s="31"/>
      <c r="B167" s="31"/>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row>
    <row r="168" spans="1:31">
      <c r="A168" s="31"/>
      <c r="B168" s="31"/>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row>
    <row r="169" spans="1:31">
      <c r="A169" s="31"/>
      <c r="B169" s="31"/>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row>
    <row r="170" spans="1:31">
      <c r="A170" s="31"/>
      <c r="B170" s="31"/>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row>
    <row r="171" spans="1:31">
      <c r="A171" s="31"/>
      <c r="B171" s="31"/>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row>
    <row r="172" spans="1:31">
      <c r="A172" s="31"/>
      <c r="B172" s="31"/>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row>
    <row r="173" spans="1:31">
      <c r="A173" s="31"/>
      <c r="B173" s="31"/>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row>
    <row r="174" spans="1:31">
      <c r="A174" s="31"/>
      <c r="B174" s="31"/>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row>
    <row r="175" spans="1:3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row>
    <row r="176" spans="1:3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row>
    <row r="177" spans="1:3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row>
    <row r="178" spans="1:3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row>
    <row r="179" spans="1:3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row>
    <row r="180" spans="1:3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row>
    <row r="181" spans="1:3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row>
    <row r="182" spans="1:3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row>
    <row r="183" spans="1:3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row>
    <row r="184" spans="1:3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row>
    <row r="185" spans="1:3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row>
    <row r="186" spans="1:3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row>
    <row r="187" spans="1:3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row>
    <row r="188" spans="1:3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row>
    <row r="189" spans="1:3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row>
    <row r="190" spans="1:3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row>
    <row r="191" spans="1:3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row>
    <row r="192" spans="1:3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row>
    <row r="193" spans="1:3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row>
    <row r="194" spans="1:3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row>
    <row r="195" spans="1:3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row>
    <row r="196" spans="1:3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row>
    <row r="197" spans="1:3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row>
    <row r="198" spans="1:3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row>
    <row r="199" spans="1:3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row>
    <row r="200" spans="1:3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row>
    <row r="201" spans="1:3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row>
    <row r="202" spans="1:3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row>
    <row r="203" spans="1:3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row>
    <row r="204" spans="1:3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row>
    <row r="205" spans="1:3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row>
    <row r="206" spans="1:3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row>
    <row r="207" spans="1:3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row>
    <row r="208" spans="1:3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row>
    <row r="209" spans="1:3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row>
    <row r="210" spans="1:3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row>
    <row r="211" spans="1:3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row>
    <row r="212" spans="1:3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row>
    <row r="213" spans="1:3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row>
    <row r="214" spans="1:3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row>
    <row r="215" spans="1:3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row>
    <row r="216" spans="1:3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row>
    <row r="217" spans="1:3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row>
    <row r="218" spans="1:3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row>
    <row r="219" spans="1:3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row>
    <row r="220" spans="1:3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row>
    <row r="221" spans="1:3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row>
    <row r="222" spans="1:3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row>
    <row r="223" spans="1:3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row>
    <row r="224" spans="1:3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row>
    <row r="225" spans="1:3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row>
    <row r="226" spans="1:3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row>
    <row r="227" spans="1:3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row>
    <row r="228" spans="1:3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row>
    <row r="229" spans="1:3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row>
    <row r="230" spans="1:3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row>
    <row r="231" spans="1: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row>
    <row r="232" spans="1:3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row>
    <row r="233" spans="1:3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row>
    <row r="234" spans="1:3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row>
    <row r="235" spans="1:3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row>
    <row r="236" spans="1:3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row>
    <row r="237" spans="1:3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row>
    <row r="238" spans="1:3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row>
    <row r="239" spans="1:3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row>
    <row r="240" spans="1:3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row>
    <row r="241" spans="1:3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row>
    <row r="242" spans="1:3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row>
    <row r="243" spans="1:3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row>
    <row r="244" spans="1:3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row>
    <row r="245" spans="1:3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row>
    <row r="246" spans="1:3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row>
    <row r="247" spans="1:3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row>
    <row r="248" spans="1:3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row>
    <row r="249" spans="1:3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row>
    <row r="250" spans="1:3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row>
    <row r="251" spans="1:3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row>
    <row r="252" spans="1:3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row>
    <row r="253" spans="1:3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row>
    <row r="254" spans="1:3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row>
    <row r="255" spans="1:3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row>
    <row r="256" spans="1:3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row>
    <row r="257" spans="1:3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row>
    <row r="258" spans="1:3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row>
    <row r="259" spans="1:3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row>
    <row r="260" spans="1:3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row>
    <row r="261" spans="1:3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row>
    <row r="262" spans="1:3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row>
    <row r="263" spans="1:3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row>
    <row r="264" spans="1:3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row>
    <row r="265" spans="1:3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row>
    <row r="266" spans="1:3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row>
    <row r="267" spans="1:3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row>
    <row r="268" spans="1:3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row>
    <row r="269" spans="1:3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row>
    <row r="270" spans="1:3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row>
    <row r="271" spans="1:3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row>
    <row r="272" spans="1:3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row>
    <row r="273" spans="1:3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row>
    <row r="274" spans="1:3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row>
    <row r="275" spans="1:3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row>
    <row r="276" spans="1:3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row>
    <row r="277" spans="1:3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row>
    <row r="278" spans="1:3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row>
    <row r="279" spans="1:3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row>
    <row r="280" spans="1:3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row>
    <row r="281" spans="1:3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row>
    <row r="282" spans="1:3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row>
    <row r="283" spans="1:3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row>
    <row r="284" spans="1:3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row>
    <row r="285" spans="1:3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row>
    <row r="286" spans="1:3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row>
    <row r="287" spans="1:3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row>
    <row r="288" spans="1:3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row>
    <row r="289" spans="1:3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row>
    <row r="290" spans="1:3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row>
    <row r="291" spans="1:3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row>
    <row r="292" spans="1:3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row>
    <row r="293" spans="1:3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row>
    <row r="294" spans="1:3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row>
    <row r="295" spans="1:3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row>
    <row r="296" spans="1:3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row>
    <row r="297" spans="1:3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row>
    <row r="298" spans="1:3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row>
    <row r="299" spans="1:3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row>
    <row r="300" spans="1:3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row>
    <row r="301" spans="1:3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row>
    <row r="302" spans="1:3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row>
    <row r="303" spans="1:3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row>
    <row r="304" spans="1:3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row>
    <row r="305" spans="1:3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row>
    <row r="306" spans="1:3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row>
    <row r="307" spans="1:3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row>
    <row r="308" spans="1:3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row>
    <row r="309" spans="1:3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row>
    <row r="310" spans="1:3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row>
    <row r="311" spans="1:3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row>
    <row r="312" spans="1:3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row>
    <row r="313" spans="1:3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row>
    <row r="314" spans="1:3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row>
    <row r="315" spans="1:3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row>
    <row r="316" spans="1:3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row>
    <row r="317" spans="1:3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row>
    <row r="318" spans="1:3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row>
    <row r="319" spans="1:3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row>
    <row r="320" spans="1:3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row>
    <row r="321" spans="1:3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row>
    <row r="322" spans="1:3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row>
    <row r="323" spans="1:3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row>
    <row r="324" spans="1:3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row>
    <row r="325" spans="1:3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row>
    <row r="326" spans="1:3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row>
    <row r="327" spans="1:3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row>
    <row r="328" spans="1:3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row>
    <row r="329" spans="1:3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row>
    <row r="330" spans="1:3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row>
    <row r="331" spans="1: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row>
    <row r="332" spans="1:3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row>
    <row r="333" spans="1:3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row>
    <row r="334" spans="1:3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row>
    <row r="335" spans="1:3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row>
    <row r="336" spans="1:3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row>
    <row r="337" spans="1:3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row>
    <row r="338" spans="1:3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row>
    <row r="339" spans="1:3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row>
    <row r="340" spans="1:3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row>
    <row r="341" spans="1:3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row>
    <row r="342" spans="1:3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row>
    <row r="343" spans="1:3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row>
    <row r="344" spans="1:3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row>
    <row r="345" spans="1:3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row>
    <row r="346" spans="1:3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row>
    <row r="347" spans="1:3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row>
    <row r="348" spans="1:3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row>
    <row r="349" spans="1:3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row>
    <row r="350" spans="1:3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row>
    <row r="351" spans="1:3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row>
    <row r="352" spans="1:3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row>
    <row r="353" spans="1:3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row>
    <row r="354" spans="1:3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row>
    <row r="355" spans="1:3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row>
    <row r="356" spans="1:3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row>
    <row r="357" spans="1:3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row>
    <row r="358" spans="1:3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row>
    <row r="359" spans="1:3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row>
    <row r="360" spans="1:3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row>
    <row r="361" spans="1:3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row>
    <row r="362" spans="1:3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row>
    <row r="363" spans="1:3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row>
    <row r="364" spans="1:3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row>
    <row r="365" spans="1:3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row>
    <row r="366" spans="1:3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row>
    <row r="367" spans="1:3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row>
    <row r="368" spans="1:3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row>
    <row r="369" spans="1:3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row>
    <row r="370" spans="1:3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row>
    <row r="371" spans="1:3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row>
    <row r="372" spans="1:3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row>
    <row r="373" spans="1:3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row>
    <row r="374" spans="1:3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row>
    <row r="375" spans="1:3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row>
    <row r="376" spans="1:3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row>
    <row r="377" spans="1:3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row>
    <row r="378" spans="1:3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row>
    <row r="379" spans="1:3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row>
    <row r="380" spans="1:3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row>
    <row r="381" spans="1:3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row>
    <row r="382" spans="1:3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row>
    <row r="383" spans="1:3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row>
    <row r="384" spans="1:3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row>
    <row r="385" spans="1:3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row>
    <row r="386" spans="1:3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row>
    <row r="387" spans="1:3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row>
    <row r="388" spans="1:3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row>
    <row r="389" spans="1:3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row>
    <row r="390" spans="1:3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row>
    <row r="391" spans="1:3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row>
    <row r="392" spans="1:3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row>
    <row r="393" spans="1:3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row>
    <row r="394" spans="1:3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row>
    <row r="395" spans="1:3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row>
    <row r="396" spans="1:3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row>
    <row r="397" spans="1:3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row>
    <row r="398" spans="1:3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row>
    <row r="399" spans="1:3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row>
    <row r="400" spans="1:3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row>
    <row r="401" spans="1:3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row>
    <row r="402" spans="1:3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row>
    <row r="403" spans="1:3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row>
    <row r="404" spans="1:3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row>
    <row r="405" spans="1:3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row>
    <row r="406" spans="1:3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row>
    <row r="407" spans="1:3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row>
    <row r="408" spans="1:3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row>
    <row r="409" spans="1:3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row>
    <row r="410" spans="1:3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row>
    <row r="411" spans="1:3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row>
    <row r="412" spans="1:3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row>
    <row r="413" spans="1:3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row>
    <row r="414" spans="1:3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row>
    <row r="415" spans="1:3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row>
    <row r="416" spans="1:3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row>
    <row r="417" spans="1:3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row>
    <row r="418" spans="1:3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row>
    <row r="419" spans="1:3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row>
    <row r="420" spans="1:3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row>
    <row r="421" spans="1:3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row>
    <row r="422" spans="1:3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row>
    <row r="423" spans="1:3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row>
    <row r="424" spans="1:3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row>
    <row r="425" spans="1:3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row>
    <row r="426" spans="1:3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row>
    <row r="427" spans="1:3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row>
    <row r="428" spans="1:3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row>
    <row r="429" spans="1:3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row>
    <row r="430" spans="1:3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row>
    <row r="431" spans="1: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row>
    <row r="432" spans="1:3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row>
    <row r="433" spans="1:3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row>
    <row r="434" spans="1:3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row>
    <row r="435" spans="1:3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row>
    <row r="436" spans="1:3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row>
    <row r="437" spans="1:3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row>
    <row r="438" spans="1:3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row>
    <row r="439" spans="1:3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row>
    <row r="440" spans="1:3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row>
    <row r="441" spans="1:3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row>
    <row r="442" spans="1:3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row>
    <row r="443" spans="1:3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row>
    <row r="444" spans="1:3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row>
    <row r="445" spans="1:3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row>
    <row r="446" spans="1:3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row>
    <row r="447" spans="1:3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row>
    <row r="448" spans="1:3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row>
    <row r="449" spans="1:3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row>
    <row r="450" spans="1:3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row>
    <row r="451" spans="1:3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row>
    <row r="452" spans="1:3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row>
    <row r="453" spans="1:3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row>
    <row r="454" spans="1:3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row>
    <row r="455" spans="1:3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row>
    <row r="456" spans="1:3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row>
    <row r="457" spans="1:3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row>
    <row r="458" spans="1:3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row>
    <row r="459" spans="1:3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row>
    <row r="460" spans="1:3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row>
    <row r="461" spans="1:3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row>
    <row r="462" spans="1:3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row>
    <row r="463" spans="1:3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row>
    <row r="464" spans="1:3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row>
    <row r="465" spans="1:3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row>
    <row r="466" spans="1:3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row>
    <row r="467" spans="1:3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row>
    <row r="468" spans="1:3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row>
    <row r="469" spans="1:3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row>
    <row r="470" spans="1:3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row>
    <row r="471" spans="1:3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row>
    <row r="472" spans="1:3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row>
    <row r="473" spans="1:3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row>
    <row r="474" spans="1:3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row>
    <row r="475" spans="1:3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row>
    <row r="476" spans="1:3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row>
    <row r="477" spans="1:3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row>
    <row r="478" spans="1:3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row>
    <row r="479" spans="1:3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row>
    <row r="480" spans="1:3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row>
    <row r="481" spans="1:3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row>
    <row r="482" spans="1:3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row>
    <row r="483" spans="1:3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row>
    <row r="484" spans="1:3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row>
    <row r="485" spans="1:3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row>
    <row r="486" spans="1:3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row>
    <row r="487" spans="1:3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row>
    <row r="488" spans="1:3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row>
    <row r="489" spans="1:3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row>
    <row r="490" spans="1:3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row>
    <row r="491" spans="1:3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row>
    <row r="492" spans="1:3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row>
    <row r="493" spans="1:3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row>
    <row r="494" spans="1:3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row>
    <row r="495" spans="1:3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row>
    <row r="496" spans="1:3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row>
    <row r="497" spans="1:3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row>
    <row r="498" spans="1:3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row>
    <row r="499" spans="1:3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row>
    <row r="500" spans="1:3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row>
    <row r="501" spans="1:3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row>
    <row r="502" spans="1:3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row>
    <row r="503" spans="1:3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row>
    <row r="504" spans="1:3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row>
    <row r="505" spans="1:3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row>
    <row r="506" spans="1:3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row>
    <row r="507" spans="1:3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row>
    <row r="508" spans="1:3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row>
    <row r="509" spans="1:3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row>
    <row r="510" spans="1:3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row>
    <row r="511" spans="1:3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row>
    <row r="512" spans="1:3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row>
    <row r="513" spans="1:3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row>
    <row r="514" spans="1:3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row>
    <row r="515" spans="1:3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row>
    <row r="516" spans="1:3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row>
    <row r="517" spans="1:3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row>
    <row r="518" spans="1:3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row>
    <row r="519" spans="1:3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row>
    <row r="520" spans="1:3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row>
    <row r="521" spans="1:3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row>
    <row r="522" spans="1:3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row>
    <row r="523" spans="1:3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row>
    <row r="524" spans="1:3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row>
    <row r="525" spans="1:3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row>
    <row r="526" spans="1:3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row>
    <row r="527" spans="1:3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row>
    <row r="528" spans="1:3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row>
    <row r="529" spans="1:3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row>
    <row r="530" spans="1:3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row>
    <row r="531" spans="1: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row>
    <row r="532" spans="1:3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row>
    <row r="533" spans="1:3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row>
    <row r="534" spans="1:3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row>
    <row r="535" spans="1:3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row>
    <row r="536" spans="1:3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row>
    <row r="537" spans="1:3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row>
    <row r="538" spans="1:3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row>
    <row r="539" spans="1:3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row>
    <row r="540" spans="1:3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row>
    <row r="541" spans="1:3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row>
    <row r="542" spans="1:3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row>
    <row r="543" spans="1:3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row>
    <row r="544" spans="1:3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row>
    <row r="545" spans="1:3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row>
    <row r="546" spans="1:3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row>
    <row r="547" spans="1:3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row>
    <row r="548" spans="1:3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row>
    <row r="549" spans="1:3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row>
    <row r="550" spans="1:3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row>
    <row r="551" spans="1:3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row>
    <row r="552" spans="1:3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row>
    <row r="553" spans="1:3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row>
    <row r="554" spans="1:3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row>
    <row r="555" spans="1:3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row>
    <row r="556" spans="1:3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row>
    <row r="557" spans="1:3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row>
    <row r="558" spans="1:3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row>
    <row r="559" spans="1:3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row>
    <row r="560" spans="1:3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row>
    <row r="561" spans="1:3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row>
    <row r="562" spans="1:3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row>
    <row r="563" spans="1:3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row>
    <row r="564" spans="1:3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row>
    <row r="565" spans="1:3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row>
    <row r="566" spans="1:3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row>
    <row r="567" spans="1:3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row>
    <row r="568" spans="1:3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row>
    <row r="569" spans="1:3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row>
    <row r="570" spans="1:3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row>
    <row r="571" spans="1:3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row>
    <row r="572" spans="1:3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row>
    <row r="573" spans="1:3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row>
    <row r="574" spans="1:3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row>
    <row r="575" spans="1:3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row>
    <row r="576" spans="1:3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row>
    <row r="577" spans="1:3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row>
    <row r="578" spans="1:3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row>
    <row r="579" spans="1:3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row>
    <row r="580" spans="1:3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row>
    <row r="581" spans="1:3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row>
    <row r="582" spans="1:3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row>
    <row r="583" spans="1:3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row>
    <row r="584" spans="1:3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row>
    <row r="585" spans="1:3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row>
    <row r="586" spans="1:3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row>
    <row r="587" spans="1:3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row>
    <row r="588" spans="1:3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row>
    <row r="589" spans="1:3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row>
    <row r="590" spans="1:3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row>
    <row r="591" spans="1:3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row>
    <row r="592" spans="1:3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row>
    <row r="593" spans="1:3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row>
    <row r="594" spans="1:3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row>
    <row r="595" spans="1:3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row>
    <row r="596" spans="1:3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row>
    <row r="597" spans="1:3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row>
    <row r="598" spans="1:3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row>
    <row r="599" spans="1:3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row>
    <row r="600" spans="1:3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row>
    <row r="601" spans="1:3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row>
    <row r="602" spans="1:3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row>
    <row r="603" spans="1:3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row>
    <row r="604" spans="1:3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row>
    <row r="605" spans="1:3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row>
    <row r="606" spans="1:3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row>
    <row r="607" spans="1:3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row>
    <row r="608" spans="1:3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row>
    <row r="609" spans="1:3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row>
    <row r="610" spans="1:3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row>
    <row r="611" spans="1:3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row>
    <row r="612" spans="1:3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row>
    <row r="613" spans="1:3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row>
    <row r="614" spans="1:3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row>
    <row r="615" spans="1:3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row>
    <row r="616" spans="1:3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row>
    <row r="617" spans="1:3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row>
    <row r="618" spans="1:3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row>
    <row r="619" spans="1:3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row>
    <row r="620" spans="1:3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row>
    <row r="621" spans="1:3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row>
    <row r="622" spans="1:3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row>
    <row r="623" spans="1:3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row>
    <row r="624" spans="1:3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row>
    <row r="625" spans="1:3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row>
    <row r="626" spans="1:3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row>
    <row r="627" spans="1:3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row>
    <row r="628" spans="1:3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row>
    <row r="629" spans="1:3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row>
    <row r="630" spans="1:3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row>
    <row r="631" spans="1: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row>
    <row r="632" spans="1:3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row>
    <row r="633" spans="1:3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row>
    <row r="634" spans="1:3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row>
    <row r="635" spans="1:3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row>
    <row r="636" spans="1:3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row>
    <row r="637" spans="1:3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row>
    <row r="638" spans="1:3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row>
    <row r="639" spans="1:3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row>
    <row r="640" spans="1:3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row>
    <row r="641" spans="1:3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row>
    <row r="642" spans="1:3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row>
    <row r="643" spans="1:3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row>
    <row r="644" spans="1:3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row>
    <row r="645" spans="1:3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row>
    <row r="646" spans="1:3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row>
    <row r="647" spans="1:3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row>
    <row r="648" spans="1:3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row>
    <row r="649" spans="1:3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row>
    <row r="650" spans="1:3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row>
    <row r="651" spans="1:3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row>
    <row r="652" spans="1:3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row>
    <row r="653" spans="1:3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row>
    <row r="654" spans="1:3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row>
    <row r="655" spans="1:3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row>
    <row r="656" spans="1:3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row>
    <row r="657" spans="1:3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row>
    <row r="658" spans="1:3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row>
    <row r="659" spans="1:3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row>
    <row r="660" spans="1:3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row>
    <row r="661" spans="1:3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row>
    <row r="662" spans="1:3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row>
    <row r="663" spans="1:3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row>
    <row r="664" spans="1:3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row>
    <row r="665" spans="1:3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row>
    <row r="666" spans="1:3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row>
    <row r="667" spans="1:3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row>
    <row r="668" spans="1:3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row>
    <row r="669" spans="1:3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row>
    <row r="670" spans="1:3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row>
    <row r="671" spans="1:3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row>
    <row r="672" spans="1:3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row>
    <row r="673" spans="1:3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row>
    <row r="674" spans="1:3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row>
    <row r="675" spans="1:3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row>
    <row r="676" spans="1:3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row>
    <row r="677" spans="1:3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row>
    <row r="678" spans="1:3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row>
    <row r="679" spans="1:3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row>
    <row r="680" spans="1:3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row>
    <row r="681" spans="1:3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row>
    <row r="682" spans="1:3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row>
    <row r="683" spans="1:3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row>
    <row r="684" spans="1:3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row>
    <row r="685" spans="1:3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row>
    <row r="686" spans="1:3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row>
    <row r="687" spans="1:3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row>
    <row r="688" spans="1:3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row>
    <row r="689" spans="1:3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row>
    <row r="690" spans="1:3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row>
    <row r="691" spans="1:3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row>
    <row r="692" spans="1:3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row>
    <row r="693" spans="1:3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row>
    <row r="694" spans="1:3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row>
    <row r="695" spans="1:3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row>
    <row r="696" spans="1:3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row>
    <row r="697" spans="1:3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row>
    <row r="698" spans="1:3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row>
    <row r="699" spans="1:3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row>
    <row r="700" spans="1:3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row>
    <row r="701" spans="1:3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row>
    <row r="702" spans="1:3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row>
    <row r="703" spans="1:3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row>
    <row r="704" spans="1:3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row>
    <row r="705" spans="1:3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row>
    <row r="706" spans="1:3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row>
    <row r="707" spans="1:3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row>
    <row r="708" spans="1:3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row>
    <row r="709" spans="1:3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row>
    <row r="710" spans="1:3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row>
    <row r="711" spans="1:3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row>
    <row r="712" spans="1:3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row>
    <row r="713" spans="1:3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row>
    <row r="714" spans="1:3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row>
    <row r="715" spans="1:3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row>
    <row r="716" spans="1:3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row>
    <row r="717" spans="1:3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row>
    <row r="718" spans="1:3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row>
    <row r="719" spans="1:3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row>
    <row r="720" spans="1:3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row>
    <row r="721" spans="1:3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row>
    <row r="722" spans="1:3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row>
    <row r="723" spans="1:3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row>
    <row r="724" spans="1:3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row>
    <row r="725" spans="1:3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row>
    <row r="726" spans="1:3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row>
    <row r="727" spans="1:3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row>
    <row r="728" spans="1:3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row>
    <row r="729" spans="1:3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row>
    <row r="730" spans="1:3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row>
    <row r="731" spans="1: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row>
    <row r="732" spans="1:3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row>
    <row r="733" spans="1:3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row>
    <row r="734" spans="1:3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row>
    <row r="735" spans="1:3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row>
    <row r="736" spans="1:3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row>
    <row r="737" spans="1:3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row>
    <row r="738" spans="1:3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row>
    <row r="739" spans="1:3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row>
    <row r="740" spans="1:3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row>
    <row r="741" spans="1:3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row>
    <row r="742" spans="1:3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row>
    <row r="743" spans="1:3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row>
    <row r="744" spans="1:3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row>
    <row r="745" spans="1:3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row>
    <row r="746" spans="1:3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row>
    <row r="747" spans="1:3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row>
    <row r="748" spans="1:3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row>
    <row r="749" spans="1:3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row>
    <row r="750" spans="1:3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row>
    <row r="751" spans="1:3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row>
    <row r="752" spans="1:3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row>
    <row r="753" spans="1:3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row>
    <row r="754" spans="1:3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row>
    <row r="755" spans="1:3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row>
    <row r="756" spans="1:3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row>
    <row r="757" spans="1:3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row>
    <row r="758" spans="1:3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row>
    <row r="759" spans="1:3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row>
    <row r="760" spans="1:3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row>
    <row r="761" spans="1:3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row>
    <row r="762" spans="1:3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row>
    <row r="763" spans="1:3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row>
    <row r="764" spans="1:3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row>
    <row r="765" spans="1:3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row>
    <row r="766" spans="1:3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row>
    <row r="767" spans="1:3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row>
    <row r="768" spans="1:3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row>
    <row r="769" spans="1:3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row>
    <row r="770" spans="1:3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row>
    <row r="771" spans="1:3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row>
    <row r="772" spans="1:3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row>
    <row r="773" spans="1:3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row>
    <row r="774" spans="1:3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row>
    <row r="775" spans="1:3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row>
    <row r="776" spans="1:3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row>
    <row r="777" spans="1:3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row>
    <row r="778" spans="1:3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row>
    <row r="779" spans="1:3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row>
    <row r="780" spans="1:3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row>
    <row r="781" spans="1:3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row>
    <row r="782" spans="1:3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row>
    <row r="783" spans="1:3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row>
    <row r="784" spans="1:3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row>
    <row r="785" spans="1:3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row>
    <row r="786" spans="1:3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row>
    <row r="787" spans="1:3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row>
    <row r="788" spans="1:3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row>
    <row r="789" spans="1:3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row>
    <row r="790" spans="1:3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row>
    <row r="791" spans="1:3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row>
    <row r="792" spans="1:3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row>
    <row r="793" spans="1:3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row>
    <row r="794" spans="1:3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row>
    <row r="795" spans="1:3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row>
    <row r="796" spans="1:3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row>
    <row r="797" spans="1:3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row>
    <row r="798" spans="1:3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row>
    <row r="799" spans="1:3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row>
    <row r="800" spans="1:3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row>
    <row r="801" spans="1:3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row>
    <row r="802" spans="1:3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row>
    <row r="803" spans="1:3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row>
    <row r="804" spans="1:3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row>
    <row r="805" spans="1:3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row>
    <row r="806" spans="1:3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row>
    <row r="807" spans="1:3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row>
    <row r="808" spans="1:3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row>
    <row r="809" spans="1:3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row>
    <row r="810" spans="1:3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row>
    <row r="811" spans="1:3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row>
    <row r="812" spans="1:3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row>
    <row r="813" spans="1:3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row>
    <row r="814" spans="1:3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row>
    <row r="815" spans="1:3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row>
    <row r="816" spans="1:3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row>
    <row r="817" spans="1:3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row>
    <row r="818" spans="1:3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row>
    <row r="819" spans="1:3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row>
    <row r="820" spans="1:3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row>
    <row r="821" spans="1:3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row>
    <row r="822" spans="1:3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row>
    <row r="823" spans="1:3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row>
    <row r="824" spans="1:3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row>
    <row r="825" spans="1:3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row>
    <row r="826" spans="1:3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row>
    <row r="827" spans="1:3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row>
    <row r="828" spans="1:3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row>
    <row r="829" spans="1:3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row>
    <row r="830" spans="1:3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row>
    <row r="831" spans="1: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row>
    <row r="832" spans="1:3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row>
    <row r="833" spans="1:3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row>
    <row r="834" spans="1:3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row>
    <row r="835" spans="1:3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row>
    <row r="836" spans="1:3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row>
    <row r="837" spans="1:3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row>
    <row r="838" spans="1:3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row>
    <row r="839" spans="1:3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row>
    <row r="840" spans="1:3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row>
    <row r="841" spans="1:3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row>
    <row r="842" spans="1:3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row>
    <row r="843" spans="1:3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row>
    <row r="844" spans="1:3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row>
    <row r="845" spans="1:3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row>
    <row r="846" spans="1:3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row>
    <row r="847" spans="1:3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row>
    <row r="848" spans="1:3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row>
    <row r="849" spans="1:3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row>
    <row r="850" spans="1:3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row>
    <row r="851" spans="1:3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row>
    <row r="852" spans="1:3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row>
    <row r="853" spans="1:3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row>
    <row r="854" spans="1:3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row>
    <row r="855" spans="1:3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row>
    <row r="856" spans="1:3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row>
    <row r="857" spans="1:3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row>
    <row r="858" spans="1:3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row>
    <row r="859" spans="1:3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row>
    <row r="860" spans="1:3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row>
    <row r="861" spans="1:3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row>
    <row r="862" spans="1:3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row>
    <row r="863" spans="1:3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row>
    <row r="864" spans="1:3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row>
    <row r="865" spans="1:3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row>
    <row r="866" spans="1:3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row>
    <row r="867" spans="1:3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row>
    <row r="868" spans="1:3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row>
    <row r="869" spans="1:3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row>
    <row r="870" spans="1:3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row>
    <row r="871" spans="1:3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row>
    <row r="872" spans="1:3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row>
  </sheetData>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H177"/>
  <sheetViews>
    <sheetView workbookViewId="0"/>
  </sheetViews>
  <sheetFormatPr baseColWidth="10" defaultColWidth="12.6640625" defaultRowHeight="15" customHeight="1"/>
  <sheetData>
    <row r="1" spans="1:31">
      <c r="A1" s="22" t="s">
        <v>102</v>
      </c>
    </row>
    <row r="2" spans="1:31">
      <c r="A2" s="22" t="s">
        <v>103</v>
      </c>
      <c r="K2" s="22">
        <v>2599</v>
      </c>
      <c r="L2" s="22">
        <v>3035.5</v>
      </c>
      <c r="M2" s="22">
        <v>2668.2</v>
      </c>
      <c r="N2" s="22">
        <v>2501.9</v>
      </c>
      <c r="O2" s="22">
        <v>3240.5</v>
      </c>
      <c r="P2" s="22">
        <v>3497.4</v>
      </c>
      <c r="Q2" s="22">
        <v>3402</v>
      </c>
      <c r="R2" s="22">
        <v>2937.6</v>
      </c>
      <c r="S2" s="22">
        <v>715</v>
      </c>
      <c r="T2" s="22">
        <v>762</v>
      </c>
      <c r="U2" s="22">
        <v>790.6</v>
      </c>
      <c r="V2" s="22">
        <v>800.9</v>
      </c>
      <c r="W2" s="22">
        <v>3069</v>
      </c>
      <c r="AB2" s="22">
        <v>3222</v>
      </c>
      <c r="AC2" s="22">
        <v>3383</v>
      </c>
      <c r="AD2" s="22">
        <v>3552</v>
      </c>
      <c r="AE2" s="22">
        <v>3730</v>
      </c>
    </row>
    <row r="3" spans="1:31">
      <c r="A3" s="22" t="s">
        <v>104</v>
      </c>
      <c r="N3" s="22">
        <v>1920</v>
      </c>
      <c r="O3" s="22">
        <v>2352.6</v>
      </c>
      <c r="P3" s="22">
        <v>2438.4</v>
      </c>
      <c r="Q3" s="22">
        <v>2427.6</v>
      </c>
      <c r="R3" s="22">
        <v>2311.3000000000002</v>
      </c>
    </row>
    <row r="4" spans="1:31">
      <c r="A4" s="22" t="s">
        <v>105</v>
      </c>
      <c r="L4" s="22">
        <v>776</v>
      </c>
      <c r="M4" s="22">
        <v>538</v>
      </c>
      <c r="N4" s="22">
        <v>581.9</v>
      </c>
      <c r="O4" s="22">
        <v>887.9</v>
      </c>
      <c r="P4" s="22">
        <v>1059</v>
      </c>
      <c r="Q4" s="22">
        <v>974.5</v>
      </c>
      <c r="R4" s="22">
        <v>626.29999999999995</v>
      </c>
      <c r="S4" s="22">
        <v>136</v>
      </c>
      <c r="T4" s="22">
        <v>149</v>
      </c>
      <c r="U4" s="22">
        <v>153.9</v>
      </c>
      <c r="V4" s="22">
        <v>156.80000000000001</v>
      </c>
    </row>
    <row r="5" spans="1:31">
      <c r="A5" s="22" t="s">
        <v>106</v>
      </c>
      <c r="N5" s="22">
        <v>371.4</v>
      </c>
      <c r="O5" s="22">
        <v>420.1</v>
      </c>
      <c r="P5" s="22">
        <v>443.5</v>
      </c>
      <c r="Q5" s="22">
        <v>488.3</v>
      </c>
      <c r="R5" s="22">
        <v>513.6</v>
      </c>
    </row>
    <row r="6" spans="1:31">
      <c r="A6" s="22" t="s">
        <v>107</v>
      </c>
    </row>
    <row r="7" spans="1:31">
      <c r="A7" s="22" t="s">
        <v>108</v>
      </c>
    </row>
    <row r="8" spans="1:31">
      <c r="A8" s="22" t="s">
        <v>109</v>
      </c>
    </row>
    <row r="9" spans="1:31">
      <c r="A9" s="22" t="s">
        <v>110</v>
      </c>
      <c r="L9" s="22">
        <v>435</v>
      </c>
      <c r="M9" s="22">
        <v>158</v>
      </c>
      <c r="N9" s="22">
        <v>209.7</v>
      </c>
      <c r="O9" s="22">
        <v>467.8</v>
      </c>
      <c r="P9" s="22">
        <v>615.5</v>
      </c>
      <c r="Q9" s="22">
        <v>486.1</v>
      </c>
      <c r="R9" s="22">
        <v>5.6</v>
      </c>
      <c r="S9" s="22">
        <v>0.8</v>
      </c>
      <c r="T9" s="22">
        <v>10.6</v>
      </c>
      <c r="U9" s="22">
        <v>19.100000000000001</v>
      </c>
      <c r="V9" s="22">
        <v>14.8</v>
      </c>
      <c r="W9" s="22">
        <v>56.9</v>
      </c>
      <c r="AB9" s="22">
        <v>160</v>
      </c>
      <c r="AC9" s="22">
        <v>310</v>
      </c>
      <c r="AD9" s="22">
        <v>490</v>
      </c>
      <c r="AE9" s="22">
        <v>560</v>
      </c>
    </row>
    <row r="10" spans="1:31">
      <c r="A10" s="22" t="s">
        <v>111</v>
      </c>
    </row>
    <row r="11" spans="1:31">
      <c r="A11" s="22" t="s">
        <v>112</v>
      </c>
    </row>
    <row r="12" spans="1:31">
      <c r="A12" s="22" t="s">
        <v>113</v>
      </c>
    </row>
    <row r="13" spans="1:31">
      <c r="A13" s="22" t="s">
        <v>114</v>
      </c>
    </row>
    <row r="14" spans="1:31">
      <c r="A14" s="22" t="s">
        <v>115</v>
      </c>
      <c r="K14" s="22">
        <v>-109</v>
      </c>
      <c r="L14" s="22">
        <v>346</v>
      </c>
      <c r="M14" s="22">
        <v>164</v>
      </c>
      <c r="N14" s="22">
        <v>122.9</v>
      </c>
      <c r="O14" s="22">
        <v>298</v>
      </c>
      <c r="P14" s="22">
        <v>428.8</v>
      </c>
      <c r="Q14" s="22">
        <v>323.8</v>
      </c>
      <c r="R14" s="22">
        <v>-31.1</v>
      </c>
      <c r="S14" s="22">
        <v>-4.0999999999999996</v>
      </c>
      <c r="T14" s="22">
        <v>2</v>
      </c>
      <c r="U14" s="22">
        <v>-7.9</v>
      </c>
      <c r="V14" s="22">
        <v>1</v>
      </c>
      <c r="W14" s="22">
        <v>-9</v>
      </c>
      <c r="AB14" s="22">
        <v>90</v>
      </c>
      <c r="AC14" s="22">
        <v>200</v>
      </c>
      <c r="AD14" s="22">
        <v>340</v>
      </c>
      <c r="AE14" s="22">
        <v>410</v>
      </c>
    </row>
    <row r="15" spans="1:31">
      <c r="A15" s="22" t="s">
        <v>116</v>
      </c>
    </row>
    <row r="16" spans="1:31">
      <c r="A16" s="22" t="s">
        <v>117</v>
      </c>
      <c r="P16" s="24">
        <v>7.9000000000000001E-2</v>
      </c>
      <c r="Q16" s="24">
        <v>-2.7E-2</v>
      </c>
      <c r="R16" s="24">
        <v>-0.13700000000000001</v>
      </c>
    </row>
    <row r="17" spans="1:18">
      <c r="A17" s="22" t="s">
        <v>118</v>
      </c>
      <c r="P17" s="24">
        <v>0.69699999999999995</v>
      </c>
      <c r="Q17" s="24">
        <v>0.71399999999999997</v>
      </c>
      <c r="R17" s="24">
        <v>0.78700000000000003</v>
      </c>
    </row>
    <row r="18" spans="1:18">
      <c r="A18" s="22" t="s">
        <v>119</v>
      </c>
      <c r="P18" s="24">
        <v>0.30299999999999999</v>
      </c>
      <c r="Q18" s="24">
        <v>0.28599999999999998</v>
      </c>
      <c r="R18" s="24">
        <v>0.21299999999999999</v>
      </c>
    </row>
    <row r="19" spans="1:18">
      <c r="A19" s="22" t="s">
        <v>120</v>
      </c>
      <c r="P19" s="24">
        <v>0.217</v>
      </c>
      <c r="Q19" s="24">
        <v>0.184</v>
      </c>
      <c r="R19" s="24">
        <v>5.8000000000000003E-2</v>
      </c>
    </row>
    <row r="20" spans="1:18">
      <c r="A20" s="22" t="s">
        <v>121</v>
      </c>
      <c r="P20" s="24">
        <v>0.17599999999999999</v>
      </c>
      <c r="Q20" s="24">
        <v>0.14299999999999999</v>
      </c>
      <c r="R20" s="24">
        <v>2E-3</v>
      </c>
    </row>
    <row r="21" spans="1:18">
      <c r="A21" s="22" t="s">
        <v>122</v>
      </c>
      <c r="P21" s="24">
        <v>0.123</v>
      </c>
      <c r="Q21" s="24">
        <v>9.5000000000000001E-2</v>
      </c>
      <c r="R21" s="24">
        <v>-1.0999999999999999E-2</v>
      </c>
    </row>
    <row r="23" spans="1:18">
      <c r="A23" s="22" t="s">
        <v>123</v>
      </c>
    </row>
    <row r="42" spans="1:23">
      <c r="A42" s="22" t="s">
        <v>124</v>
      </c>
    </row>
    <row r="43" spans="1:23">
      <c r="A43" s="22" t="s">
        <v>125</v>
      </c>
    </row>
    <row r="44" spans="1:23">
      <c r="A44" s="22" t="s">
        <v>126</v>
      </c>
      <c r="M44" s="22">
        <v>507</v>
      </c>
      <c r="N44" s="22">
        <v>619.9</v>
      </c>
      <c r="O44" s="22">
        <v>774.1</v>
      </c>
      <c r="P44" s="22">
        <v>610.79999999999995</v>
      </c>
      <c r="Q44" s="22">
        <v>972.7</v>
      </c>
      <c r="R44" s="22">
        <v>590.29999999999995</v>
      </c>
      <c r="S44" s="22">
        <v>590.29999999999995</v>
      </c>
      <c r="V44" s="22">
        <v>515</v>
      </c>
      <c r="W44" s="22">
        <v>515</v>
      </c>
    </row>
    <row r="45" spans="1:23">
      <c r="A45" s="22" t="s">
        <v>127</v>
      </c>
    </row>
    <row r="46" spans="1:23">
      <c r="A46" s="22" t="s">
        <v>128</v>
      </c>
    </row>
    <row r="47" spans="1:23">
      <c r="A47" s="22" t="s">
        <v>129</v>
      </c>
    </row>
    <row r="48" spans="1:23">
      <c r="A48" s="22" t="s">
        <v>130</v>
      </c>
    </row>
    <row r="51" spans="1:23">
      <c r="A51" s="22" t="s">
        <v>131</v>
      </c>
      <c r="L51" s="22">
        <v>0</v>
      </c>
      <c r="M51" s="22">
        <v>0</v>
      </c>
      <c r="N51" s="22">
        <v>0</v>
      </c>
      <c r="O51" s="22">
        <v>0</v>
      </c>
      <c r="P51" s="22">
        <v>0</v>
      </c>
      <c r="Q51" s="22">
        <v>0</v>
      </c>
      <c r="R51" s="22">
        <v>0</v>
      </c>
    </row>
    <row r="53" spans="1:23">
      <c r="A53" s="22" t="s">
        <v>132</v>
      </c>
    </row>
    <row r="54" spans="1:23">
      <c r="A54" s="22" t="s">
        <v>133</v>
      </c>
    </row>
    <row r="56" spans="1:23">
      <c r="A56" s="22" t="s">
        <v>134</v>
      </c>
    </row>
    <row r="57" spans="1:23">
      <c r="A57" s="22" t="s">
        <v>135</v>
      </c>
    </row>
    <row r="59" spans="1:23">
      <c r="A59" s="22" t="s">
        <v>136</v>
      </c>
      <c r="L59" s="22">
        <v>0</v>
      </c>
      <c r="M59" s="22">
        <v>0</v>
      </c>
      <c r="N59" s="22">
        <v>0</v>
      </c>
      <c r="O59" s="22">
        <v>0</v>
      </c>
      <c r="P59" s="22">
        <v>0</v>
      </c>
      <c r="Q59" s="22">
        <v>0</v>
      </c>
      <c r="R59" s="22">
        <v>0</v>
      </c>
    </row>
    <row r="60" spans="1:23">
      <c r="A60" s="22" t="s">
        <v>137</v>
      </c>
      <c r="L60" s="22">
        <v>0</v>
      </c>
      <c r="M60" s="22">
        <v>3154</v>
      </c>
      <c r="N60" s="22">
        <v>3210</v>
      </c>
      <c r="O60" s="22">
        <v>3543</v>
      </c>
      <c r="P60" s="22">
        <v>3866</v>
      </c>
      <c r="Q60" s="22">
        <v>4240</v>
      </c>
      <c r="R60" s="22">
        <v>4111</v>
      </c>
      <c r="W60" s="22">
        <v>4234</v>
      </c>
    </row>
    <row r="62" spans="1:23">
      <c r="A62" s="22" t="s">
        <v>138</v>
      </c>
    </row>
    <row r="63" spans="1:23">
      <c r="A63" s="22" t="s">
        <v>139</v>
      </c>
    </row>
    <row r="66" spans="1:23">
      <c r="A66" s="22" t="s">
        <v>140</v>
      </c>
    </row>
    <row r="69" spans="1:23">
      <c r="A69" s="22" t="s">
        <v>179</v>
      </c>
      <c r="L69" s="22">
        <v>0</v>
      </c>
      <c r="M69" s="22">
        <v>0</v>
      </c>
      <c r="N69" s="22">
        <v>0</v>
      </c>
      <c r="O69" s="22">
        <v>0</v>
      </c>
      <c r="P69" s="22">
        <v>0</v>
      </c>
      <c r="Q69" s="22">
        <v>0</v>
      </c>
      <c r="R69" s="22">
        <v>0</v>
      </c>
    </row>
    <row r="71" spans="1:23">
      <c r="A71" s="22" t="s">
        <v>180</v>
      </c>
    </row>
    <row r="72" spans="1:23">
      <c r="A72" s="22" t="s">
        <v>181</v>
      </c>
    </row>
    <row r="79" spans="1:23">
      <c r="A79" s="22" t="s">
        <v>141</v>
      </c>
      <c r="L79" s="22">
        <v>0</v>
      </c>
      <c r="M79" s="22">
        <v>0</v>
      </c>
      <c r="N79" s="22">
        <v>0</v>
      </c>
      <c r="O79" s="22">
        <v>0</v>
      </c>
      <c r="P79" s="22">
        <v>0</v>
      </c>
      <c r="Q79" s="22">
        <v>0</v>
      </c>
      <c r="R79" s="22">
        <v>0</v>
      </c>
    </row>
    <row r="80" spans="1:23">
      <c r="A80" s="22" t="s">
        <v>142</v>
      </c>
      <c r="L80" s="22">
        <v>0</v>
      </c>
      <c r="M80" s="22">
        <v>0</v>
      </c>
      <c r="N80" s="22">
        <v>1575</v>
      </c>
      <c r="O80" s="22">
        <v>1797</v>
      </c>
      <c r="P80" s="22">
        <v>1816</v>
      </c>
      <c r="Q80" s="22">
        <v>2039</v>
      </c>
      <c r="R80" s="22">
        <v>2082</v>
      </c>
      <c r="W80" s="22">
        <v>2146</v>
      </c>
    </row>
    <row r="82" spans="1:23">
      <c r="A82" s="22" t="s">
        <v>143</v>
      </c>
    </row>
    <row r="89" spans="1:23">
      <c r="A89" s="22" t="s">
        <v>144</v>
      </c>
      <c r="L89" s="22">
        <v>0</v>
      </c>
      <c r="M89" s="22">
        <v>1580</v>
      </c>
      <c r="N89" s="22">
        <v>1579</v>
      </c>
      <c r="O89" s="22">
        <v>1747</v>
      </c>
      <c r="P89" s="22">
        <v>2050</v>
      </c>
      <c r="Q89" s="22">
        <v>2196</v>
      </c>
      <c r="R89" s="22">
        <v>2029</v>
      </c>
      <c r="W89" s="22">
        <v>2088</v>
      </c>
    </row>
    <row r="91" spans="1:23">
      <c r="A91" s="22" t="s">
        <v>145</v>
      </c>
      <c r="L91" s="22">
        <v>0</v>
      </c>
      <c r="M91" s="22">
        <v>0</v>
      </c>
      <c r="N91" s="22">
        <v>0</v>
      </c>
      <c r="O91" s="22">
        <v>0</v>
      </c>
      <c r="P91" s="22">
        <v>0</v>
      </c>
      <c r="Q91" s="22">
        <v>0</v>
      </c>
      <c r="R91" s="22">
        <v>0</v>
      </c>
    </row>
    <row r="95" spans="1:23">
      <c r="A95" s="22" t="s">
        <v>146</v>
      </c>
    </row>
    <row r="96" spans="1:23">
      <c r="A96" s="22" t="s">
        <v>8</v>
      </c>
    </row>
    <row r="97" spans="1:18">
      <c r="A97" s="22" t="s">
        <v>147</v>
      </c>
    </row>
    <row r="98" spans="1:18">
      <c r="A98" s="22" t="s">
        <v>148</v>
      </c>
      <c r="P98" s="22">
        <v>144.30000000000001</v>
      </c>
      <c r="Q98" s="22">
        <v>141.19999999999999</v>
      </c>
      <c r="R98" s="22">
        <v>165.7</v>
      </c>
    </row>
    <row r="111" spans="1:18">
      <c r="A111" s="22" t="s">
        <v>149</v>
      </c>
      <c r="L111" s="22">
        <v>0</v>
      </c>
      <c r="M111" s="22">
        <v>0</v>
      </c>
      <c r="N111" s="22">
        <v>0</v>
      </c>
      <c r="O111" s="22">
        <v>0</v>
      </c>
      <c r="P111" s="22">
        <v>0</v>
      </c>
      <c r="Q111" s="22">
        <v>0</v>
      </c>
      <c r="R111" s="22">
        <v>0</v>
      </c>
    </row>
    <row r="115" spans="1:31">
      <c r="A115" s="22" t="s">
        <v>150</v>
      </c>
      <c r="L115" s="22">
        <v>0</v>
      </c>
      <c r="M115" s="22">
        <v>0</v>
      </c>
      <c r="N115" s="22">
        <v>257.8</v>
      </c>
      <c r="O115" s="22">
        <v>457.1</v>
      </c>
      <c r="P115" s="22">
        <v>484.3</v>
      </c>
      <c r="Q115" s="22">
        <v>365.7</v>
      </c>
      <c r="R115" s="22">
        <v>173.7</v>
      </c>
      <c r="S115" s="22">
        <v>16</v>
      </c>
      <c r="T115" s="22">
        <v>-9</v>
      </c>
      <c r="U115" s="22">
        <v>149.4</v>
      </c>
      <c r="W115" s="22">
        <v>184.3</v>
      </c>
    </row>
    <row r="117" spans="1:31">
      <c r="A117" s="22" t="s">
        <v>151</v>
      </c>
    </row>
    <row r="118" spans="1:31">
      <c r="A118" s="22" t="s">
        <v>152</v>
      </c>
      <c r="N118" s="22">
        <v>-101.2</v>
      </c>
      <c r="O118" s="22">
        <v>-303.8</v>
      </c>
      <c r="P118" s="22">
        <v>-325.3</v>
      </c>
      <c r="Q118" s="22">
        <v>-329.4</v>
      </c>
      <c r="R118" s="22">
        <v>-320.10000000000002</v>
      </c>
      <c r="S118" s="22">
        <v>-62</v>
      </c>
      <c r="T118" s="22">
        <v>-65</v>
      </c>
      <c r="U118" s="22">
        <v>-94.8</v>
      </c>
      <c r="W118" s="22">
        <v>-273.3</v>
      </c>
      <c r="AB118" s="22">
        <v>-420</v>
      </c>
      <c r="AC118" s="22">
        <v>-350</v>
      </c>
      <c r="AD118" s="22">
        <v>-300</v>
      </c>
      <c r="AE118" s="22">
        <v>-250</v>
      </c>
    </row>
    <row r="123" spans="1:31">
      <c r="A123" s="22" t="s">
        <v>153</v>
      </c>
      <c r="L123" s="22">
        <v>0</v>
      </c>
      <c r="M123" s="22">
        <v>0</v>
      </c>
      <c r="N123" s="22">
        <v>0</v>
      </c>
      <c r="O123" s="22">
        <v>0</v>
      </c>
      <c r="P123" s="22">
        <v>0</v>
      </c>
      <c r="Q123" s="22">
        <v>0</v>
      </c>
      <c r="R123" s="22">
        <v>0</v>
      </c>
    </row>
    <row r="125" spans="1:31">
      <c r="A125" s="22" t="s">
        <v>154</v>
      </c>
    </row>
    <row r="127" spans="1:31">
      <c r="A127" s="22" t="s">
        <v>155</v>
      </c>
      <c r="P127" s="22">
        <v>-53.4</v>
      </c>
      <c r="Q127" s="22">
        <v>-54.7</v>
      </c>
      <c r="R127" s="22">
        <v>-55.6</v>
      </c>
      <c r="W127" s="22">
        <v>-54.2</v>
      </c>
    </row>
    <row r="128" spans="1:31">
      <c r="A128" s="22" t="s">
        <v>156</v>
      </c>
      <c r="P128" s="22">
        <v>-79.5</v>
      </c>
      <c r="Q128" s="22">
        <v>-50.4</v>
      </c>
      <c r="R128" s="22">
        <v>-78.7</v>
      </c>
      <c r="W128" s="22">
        <v>-12.5</v>
      </c>
    </row>
    <row r="147" spans="1:18">
      <c r="A147" s="22" t="s">
        <v>157</v>
      </c>
      <c r="L147" s="22">
        <v>0</v>
      </c>
      <c r="M147" s="22">
        <v>0</v>
      </c>
      <c r="N147" s="22">
        <v>0</v>
      </c>
      <c r="O147" s="22">
        <v>0</v>
      </c>
      <c r="P147" s="22">
        <v>0</v>
      </c>
      <c r="Q147" s="22">
        <v>0</v>
      </c>
      <c r="R147" s="22">
        <v>0</v>
      </c>
    </row>
    <row r="148" spans="1:18">
      <c r="A148" s="22" t="s">
        <v>158</v>
      </c>
    </row>
    <row r="149" spans="1:18">
      <c r="A149" s="22" t="s">
        <v>159</v>
      </c>
    </row>
    <row r="150" spans="1:18">
      <c r="A150" s="22" t="s">
        <v>10</v>
      </c>
      <c r="P150" s="22">
        <v>1011.6</v>
      </c>
      <c r="Q150" s="22">
        <v>1046.8</v>
      </c>
      <c r="R150" s="22">
        <v>765.2</v>
      </c>
    </row>
    <row r="151" spans="1:18">
      <c r="A151" s="22" t="s">
        <v>160</v>
      </c>
      <c r="P151" s="22">
        <v>706.7</v>
      </c>
      <c r="Q151" s="22">
        <v>651.9</v>
      </c>
      <c r="R151" s="22">
        <v>531.29999999999995</v>
      </c>
    </row>
    <row r="152" spans="1:18">
      <c r="A152" s="22" t="s">
        <v>161</v>
      </c>
      <c r="P152" s="22">
        <v>284.10000000000002</v>
      </c>
      <c r="Q152" s="22">
        <v>247.6</v>
      </c>
      <c r="R152" s="22">
        <v>191.1</v>
      </c>
    </row>
    <row r="153" spans="1:18">
      <c r="A153" s="22" t="s">
        <v>20</v>
      </c>
      <c r="P153" s="22">
        <v>746.5</v>
      </c>
      <c r="Q153" s="22">
        <v>712.1</v>
      </c>
      <c r="R153" s="22">
        <v>676</v>
      </c>
    </row>
    <row r="154" spans="1:18">
      <c r="A154" s="22" t="s">
        <v>24</v>
      </c>
      <c r="P154" s="22">
        <v>345</v>
      </c>
      <c r="Q154" s="22">
        <v>341.3</v>
      </c>
      <c r="R154" s="22">
        <v>318.5</v>
      </c>
    </row>
    <row r="155" spans="1:18">
      <c r="A155" s="22" t="s">
        <v>29</v>
      </c>
      <c r="P155" s="22">
        <v>403.5</v>
      </c>
      <c r="Q155" s="22">
        <v>402.3</v>
      </c>
      <c r="R155" s="22">
        <v>455.5</v>
      </c>
    </row>
    <row r="156" spans="1:18">
      <c r="A156" s="22" t="s">
        <v>162</v>
      </c>
      <c r="P156" s="22">
        <v>3497.4</v>
      </c>
      <c r="Q156" s="22">
        <v>3402</v>
      </c>
      <c r="R156" s="22">
        <v>2937.6</v>
      </c>
    </row>
    <row r="158" spans="1:18">
      <c r="A158" s="22" t="s">
        <v>163</v>
      </c>
    </row>
    <row r="159" spans="1:18">
      <c r="A159" s="22" t="s">
        <v>164</v>
      </c>
      <c r="P159" s="24">
        <v>0.28899999999999998</v>
      </c>
      <c r="Q159" s="24">
        <v>0.308</v>
      </c>
      <c r="R159" s="24">
        <v>0.26</v>
      </c>
    </row>
    <row r="160" spans="1:18">
      <c r="A160" s="22" t="s">
        <v>165</v>
      </c>
      <c r="P160" s="24">
        <v>0.20200000000000001</v>
      </c>
      <c r="Q160" s="24">
        <v>0.192</v>
      </c>
      <c r="R160" s="24">
        <v>0.18099999999999999</v>
      </c>
    </row>
    <row r="161" spans="1:34">
      <c r="A161" s="22" t="s">
        <v>166</v>
      </c>
      <c r="P161" s="24">
        <v>8.1000000000000003E-2</v>
      </c>
      <c r="Q161" s="24">
        <v>7.2999999999999995E-2</v>
      </c>
      <c r="R161" s="24">
        <v>6.5000000000000002E-2</v>
      </c>
    </row>
    <row r="162" spans="1:34">
      <c r="A162" s="22" t="s">
        <v>167</v>
      </c>
      <c r="P162" s="24">
        <v>0.21299999999999999</v>
      </c>
      <c r="Q162" s="24">
        <v>0.20899999999999999</v>
      </c>
      <c r="R162" s="24">
        <v>0.23</v>
      </c>
    </row>
    <row r="163" spans="1:34">
      <c r="A163" s="22" t="s">
        <v>168</v>
      </c>
      <c r="P163" s="24">
        <v>9.9000000000000005E-2</v>
      </c>
      <c r="Q163" s="24">
        <v>0.1</v>
      </c>
      <c r="R163" s="24">
        <v>0.108</v>
      </c>
    </row>
    <row r="164" spans="1:34">
      <c r="A164" s="22" t="s">
        <v>169</v>
      </c>
      <c r="P164" s="24">
        <v>0.115</v>
      </c>
      <c r="Q164" s="24">
        <v>0.11799999999999999</v>
      </c>
      <c r="R164" s="24">
        <v>0.155</v>
      </c>
    </row>
    <row r="166" spans="1:34">
      <c r="A166" s="22" t="s">
        <v>170</v>
      </c>
    </row>
    <row r="167" spans="1:34">
      <c r="A167" s="22" t="s">
        <v>171</v>
      </c>
      <c r="P167" s="24">
        <v>0.312</v>
      </c>
      <c r="Q167" s="24">
        <v>0.28399999999999997</v>
      </c>
      <c r="R167" s="24">
        <v>0.192</v>
      </c>
    </row>
    <row r="168" spans="1:34">
      <c r="A168" s="22" t="s">
        <v>172</v>
      </c>
      <c r="P168" s="24">
        <v>0.29499999999999998</v>
      </c>
      <c r="Q168" s="24">
        <v>0.29099999999999998</v>
      </c>
      <c r="R168" s="24">
        <v>0.26500000000000001</v>
      </c>
    </row>
    <row r="169" spans="1:34">
      <c r="A169" s="22" t="s">
        <v>173</v>
      </c>
    </row>
    <row r="170" spans="1:34">
      <c r="A170" s="22" t="s">
        <v>159</v>
      </c>
    </row>
    <row r="171" spans="1:34">
      <c r="A171" s="22" t="s">
        <v>163</v>
      </c>
    </row>
    <row r="172" spans="1:34">
      <c r="A172" s="22" t="s">
        <v>174</v>
      </c>
    </row>
    <row r="173" spans="1:34">
      <c r="A173" s="22" t="s">
        <v>175</v>
      </c>
      <c r="AF173" s="24">
        <v>0.56000000000000005</v>
      </c>
      <c r="AG173" s="24">
        <v>0.56000000000000005</v>
      </c>
      <c r="AH173" s="24">
        <v>0.56000000000000005</v>
      </c>
    </row>
    <row r="175" spans="1:34">
      <c r="A175" s="22" t="s">
        <v>176</v>
      </c>
    </row>
    <row r="176" spans="1:34">
      <c r="A176" s="22" t="s">
        <v>177</v>
      </c>
    </row>
    <row r="177" spans="1:1">
      <c r="A177" s="22" t="s">
        <v>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selection activeCell="P12" sqref="P12"/>
    </sheetView>
  </sheetViews>
  <sheetFormatPr baseColWidth="10" defaultColWidth="12.6640625" defaultRowHeight="15" customHeight="1"/>
  <cols>
    <col min="2" max="2" width="16.5" customWidth="1"/>
  </cols>
  <sheetData>
    <row r="1" spans="1:26" ht="15" customHeight="1">
      <c r="A1" s="207" t="s">
        <v>312</v>
      </c>
      <c r="B1" s="208"/>
      <c r="C1" s="208"/>
      <c r="D1" s="208"/>
      <c r="E1" s="208"/>
      <c r="F1" s="208"/>
      <c r="G1" s="208"/>
      <c r="H1" s="208"/>
      <c r="I1" s="208"/>
      <c r="J1" s="208"/>
      <c r="K1" s="209"/>
      <c r="L1" s="32"/>
      <c r="M1" s="32"/>
      <c r="N1" s="32"/>
      <c r="O1" s="32"/>
      <c r="P1" s="32"/>
      <c r="Q1" s="32"/>
      <c r="R1" s="32"/>
      <c r="S1" s="32"/>
      <c r="T1" s="32"/>
      <c r="U1" s="32"/>
      <c r="V1" s="32"/>
      <c r="W1" s="32"/>
      <c r="X1" s="32"/>
      <c r="Y1" s="32"/>
      <c r="Z1" s="32"/>
    </row>
    <row r="2" spans="1:26">
      <c r="A2" s="33"/>
      <c r="B2" s="32"/>
      <c r="C2" s="33"/>
      <c r="D2" s="33"/>
      <c r="E2" s="33"/>
      <c r="F2" s="33"/>
      <c r="G2" s="33"/>
      <c r="H2" s="33"/>
      <c r="I2" s="33"/>
      <c r="J2" s="33"/>
      <c r="K2" s="33"/>
      <c r="L2" s="33"/>
      <c r="M2" s="32"/>
      <c r="N2" s="32"/>
      <c r="O2" s="32"/>
      <c r="P2" s="32"/>
      <c r="Q2" s="32"/>
      <c r="R2" s="32"/>
      <c r="S2" s="32"/>
      <c r="T2" s="32"/>
      <c r="U2" s="32"/>
      <c r="V2" s="32"/>
      <c r="W2" s="32"/>
      <c r="X2" s="32"/>
      <c r="Y2" s="32"/>
      <c r="Z2" s="32"/>
    </row>
    <row r="3" spans="1:26">
      <c r="A3" s="33"/>
      <c r="B3" s="34" t="s">
        <v>182</v>
      </c>
      <c r="C3" s="35">
        <v>44561</v>
      </c>
      <c r="D3" s="36">
        <v>44926</v>
      </c>
      <c r="E3" s="36">
        <v>45291</v>
      </c>
      <c r="F3" s="36">
        <v>45657</v>
      </c>
      <c r="G3" s="36">
        <v>46022</v>
      </c>
      <c r="H3" s="36">
        <v>46387</v>
      </c>
      <c r="I3" s="36">
        <v>46752</v>
      </c>
      <c r="J3" s="36">
        <v>47118</v>
      </c>
      <c r="K3" s="36">
        <v>47483</v>
      </c>
      <c r="L3" s="33"/>
      <c r="M3" s="32"/>
      <c r="N3" s="32"/>
      <c r="O3" s="32"/>
      <c r="P3" s="32"/>
      <c r="Q3" s="32"/>
      <c r="R3" s="32"/>
      <c r="S3" s="32"/>
      <c r="T3" s="32"/>
      <c r="U3" s="32"/>
      <c r="V3" s="32"/>
      <c r="W3" s="32"/>
      <c r="X3" s="32"/>
      <c r="Y3" s="32"/>
      <c r="Z3" s="32"/>
    </row>
    <row r="4" spans="1:26">
      <c r="A4" s="33"/>
      <c r="B4" s="37" t="s">
        <v>183</v>
      </c>
      <c r="C4" s="38">
        <v>2021</v>
      </c>
      <c r="D4" s="38">
        <f t="shared" ref="D4:K4" si="0">C4+1</f>
        <v>2022</v>
      </c>
      <c r="E4" s="38">
        <f t="shared" si="0"/>
        <v>2023</v>
      </c>
      <c r="F4" s="38">
        <f t="shared" si="0"/>
        <v>2024</v>
      </c>
      <c r="G4" s="39">
        <f t="shared" si="0"/>
        <v>2025</v>
      </c>
      <c r="H4" s="39">
        <f t="shared" si="0"/>
        <v>2026</v>
      </c>
      <c r="I4" s="39">
        <f t="shared" si="0"/>
        <v>2027</v>
      </c>
      <c r="J4" s="39">
        <f t="shared" si="0"/>
        <v>2028</v>
      </c>
      <c r="K4" s="39">
        <f t="shared" si="0"/>
        <v>2029</v>
      </c>
      <c r="L4" s="33"/>
      <c r="M4" s="32"/>
      <c r="N4" s="32"/>
      <c r="O4" s="32"/>
      <c r="P4" s="32"/>
      <c r="Q4" s="32"/>
      <c r="R4" s="32"/>
      <c r="S4" s="32"/>
      <c r="T4" s="32"/>
      <c r="U4" s="32"/>
      <c r="V4" s="32"/>
      <c r="W4" s="32"/>
      <c r="X4" s="32"/>
      <c r="Y4" s="32"/>
      <c r="Z4" s="32"/>
    </row>
    <row r="5" spans="1:26">
      <c r="A5" s="33"/>
      <c r="B5" s="34" t="s">
        <v>103</v>
      </c>
      <c r="C5" s="40">
        <v>3241</v>
      </c>
      <c r="D5" s="40">
        <v>3497.4</v>
      </c>
      <c r="E5" s="40">
        <v>3402</v>
      </c>
      <c r="F5" s="40">
        <v>2938</v>
      </c>
      <c r="G5" s="40">
        <v>3069</v>
      </c>
      <c r="H5" s="40">
        <v>3222</v>
      </c>
      <c r="I5" s="40">
        <v>3383</v>
      </c>
      <c r="J5" s="40">
        <v>3552</v>
      </c>
      <c r="K5" s="40">
        <v>3730</v>
      </c>
      <c r="L5" s="33"/>
      <c r="M5" s="32"/>
      <c r="N5" s="32"/>
      <c r="O5" s="32"/>
      <c r="P5" s="32"/>
      <c r="Q5" s="32"/>
      <c r="R5" s="32"/>
      <c r="S5" s="32"/>
      <c r="T5" s="32"/>
      <c r="U5" s="32"/>
      <c r="V5" s="32"/>
      <c r="W5" s="32"/>
      <c r="X5" s="32"/>
      <c r="Y5" s="32"/>
      <c r="Z5" s="32"/>
    </row>
    <row r="6" spans="1:26">
      <c r="A6" s="33"/>
      <c r="B6" s="41" t="s">
        <v>184</v>
      </c>
      <c r="C6" s="42"/>
      <c r="D6" s="43">
        <f t="shared" ref="D6:K6" si="1">D5/C5-1</f>
        <v>7.911138537488438E-2</v>
      </c>
      <c r="E6" s="43">
        <f t="shared" si="1"/>
        <v>-2.7277406073082933E-2</v>
      </c>
      <c r="F6" s="43">
        <f t="shared" si="1"/>
        <v>-0.13639035861258086</v>
      </c>
      <c r="G6" s="43">
        <f t="shared" si="1"/>
        <v>4.4588155207624158E-2</v>
      </c>
      <c r="H6" s="43">
        <f t="shared" si="1"/>
        <v>4.9853372434017551E-2</v>
      </c>
      <c r="I6" s="43">
        <f t="shared" si="1"/>
        <v>4.9968963376784581E-2</v>
      </c>
      <c r="J6" s="43">
        <f t="shared" si="1"/>
        <v>4.9955660656222367E-2</v>
      </c>
      <c r="K6" s="43">
        <f t="shared" si="1"/>
        <v>5.0112612612612573E-2</v>
      </c>
      <c r="L6" s="33"/>
      <c r="M6" s="32"/>
      <c r="N6" s="32"/>
      <c r="O6" s="32"/>
      <c r="P6" s="32"/>
      <c r="Q6" s="32"/>
      <c r="R6" s="32"/>
      <c r="S6" s="32"/>
      <c r="T6" s="32"/>
      <c r="U6" s="32"/>
      <c r="V6" s="32"/>
      <c r="W6" s="32"/>
      <c r="X6" s="32"/>
      <c r="Y6" s="32"/>
      <c r="Z6" s="32"/>
    </row>
    <row r="7" spans="1:26">
      <c r="A7" s="33"/>
      <c r="B7" s="42"/>
      <c r="C7" s="42"/>
      <c r="D7" s="42"/>
      <c r="E7" s="42"/>
      <c r="F7" s="42"/>
      <c r="G7" s="42"/>
      <c r="H7" s="42"/>
      <c r="I7" s="42"/>
      <c r="J7" s="42"/>
      <c r="K7" s="42"/>
      <c r="L7" s="33"/>
      <c r="M7" s="32"/>
      <c r="N7" s="32"/>
      <c r="O7" s="32"/>
      <c r="P7" s="32"/>
      <c r="Q7" s="32"/>
      <c r="R7" s="32"/>
      <c r="S7" s="32"/>
      <c r="T7" s="32"/>
      <c r="U7" s="32"/>
      <c r="V7" s="32"/>
      <c r="W7" s="32"/>
      <c r="X7" s="32"/>
      <c r="Y7" s="32"/>
      <c r="Z7" s="32"/>
    </row>
    <row r="8" spans="1:26">
      <c r="A8" s="33"/>
      <c r="B8" s="34" t="s">
        <v>185</v>
      </c>
      <c r="C8" s="40">
        <v>624.70000000000005</v>
      </c>
      <c r="D8" s="40">
        <v>781.8</v>
      </c>
      <c r="E8" s="40">
        <v>768</v>
      </c>
      <c r="F8" s="40">
        <v>381.1</v>
      </c>
      <c r="G8" s="40">
        <v>436</v>
      </c>
      <c r="H8" s="40">
        <v>493</v>
      </c>
      <c r="I8" s="40">
        <v>575</v>
      </c>
      <c r="J8" s="40">
        <v>685</v>
      </c>
      <c r="K8" s="40">
        <v>787</v>
      </c>
      <c r="L8" s="33"/>
      <c r="M8" s="32"/>
      <c r="N8" s="32"/>
      <c r="O8" s="32"/>
      <c r="P8" s="32"/>
      <c r="Q8" s="32"/>
      <c r="R8" s="32"/>
      <c r="S8" s="32"/>
      <c r="T8" s="32"/>
      <c r="U8" s="32"/>
      <c r="V8" s="32"/>
      <c r="W8" s="32"/>
      <c r="X8" s="32"/>
      <c r="Y8" s="32"/>
      <c r="Z8" s="32"/>
    </row>
    <row r="9" spans="1:26">
      <c r="A9" s="33"/>
      <c r="B9" s="41" t="s">
        <v>186</v>
      </c>
      <c r="C9" s="43">
        <f t="shared" ref="C9:K9" si="2">C8/C5</f>
        <v>0.19274915149645172</v>
      </c>
      <c r="D9" s="43">
        <f t="shared" si="2"/>
        <v>0.22353748498884884</v>
      </c>
      <c r="E9" s="43">
        <f t="shared" si="2"/>
        <v>0.2257495590828924</v>
      </c>
      <c r="F9" s="43">
        <f t="shared" si="2"/>
        <v>0.12971409121851601</v>
      </c>
      <c r="G9" s="43">
        <f t="shared" si="2"/>
        <v>0.14206581948517433</v>
      </c>
      <c r="H9" s="43">
        <f t="shared" si="2"/>
        <v>0.15301055245189324</v>
      </c>
      <c r="I9" s="43">
        <f t="shared" si="2"/>
        <v>0.16996748448122967</v>
      </c>
      <c r="J9" s="43">
        <f t="shared" si="2"/>
        <v>0.19284909909909909</v>
      </c>
      <c r="K9" s="43">
        <f t="shared" si="2"/>
        <v>0.21099195710455765</v>
      </c>
      <c r="L9" s="33"/>
      <c r="M9" s="32"/>
      <c r="N9" s="32"/>
      <c r="O9" s="32"/>
      <c r="P9" s="32"/>
      <c r="Q9" s="32"/>
      <c r="R9" s="32"/>
      <c r="S9" s="32"/>
      <c r="T9" s="32"/>
      <c r="U9" s="32"/>
      <c r="V9" s="32"/>
      <c r="W9" s="32"/>
      <c r="X9" s="32"/>
      <c r="Y9" s="32"/>
      <c r="Z9" s="32"/>
    </row>
    <row r="10" spans="1:26">
      <c r="A10" s="33"/>
      <c r="B10" s="42"/>
      <c r="C10" s="42"/>
      <c r="D10" s="42"/>
      <c r="E10" s="42"/>
      <c r="F10" s="42"/>
      <c r="G10" s="42"/>
      <c r="H10" s="42"/>
      <c r="I10" s="42"/>
      <c r="J10" s="42"/>
      <c r="K10" s="42"/>
      <c r="L10" s="33"/>
      <c r="M10" s="32"/>
      <c r="N10" s="32"/>
      <c r="O10" s="32"/>
      <c r="P10" s="32"/>
      <c r="Q10" s="32"/>
      <c r="R10" s="32"/>
      <c r="S10" s="32"/>
      <c r="T10" s="32"/>
      <c r="U10" s="32"/>
      <c r="V10" s="32"/>
      <c r="W10" s="32"/>
      <c r="X10" s="32"/>
      <c r="Y10" s="32"/>
      <c r="Z10" s="32"/>
    </row>
    <row r="11" spans="1:26">
      <c r="A11" s="33"/>
      <c r="B11" s="34" t="s">
        <v>187</v>
      </c>
      <c r="C11" s="40">
        <v>167</v>
      </c>
      <c r="D11" s="40">
        <v>-14</v>
      </c>
      <c r="E11" s="40">
        <v>47</v>
      </c>
      <c r="F11" s="40">
        <v>-90</v>
      </c>
      <c r="G11" s="40">
        <v>60</v>
      </c>
      <c r="H11" s="40">
        <v>121</v>
      </c>
      <c r="I11" s="40">
        <v>174</v>
      </c>
      <c r="J11" s="40">
        <v>229</v>
      </c>
      <c r="K11" s="40">
        <v>274</v>
      </c>
      <c r="L11" s="33"/>
      <c r="M11" s="32"/>
      <c r="N11" s="32"/>
      <c r="O11" s="32"/>
      <c r="P11" s="32"/>
      <c r="Q11" s="32"/>
      <c r="R11" s="32"/>
      <c r="S11" s="32"/>
      <c r="T11" s="32"/>
      <c r="U11" s="32"/>
      <c r="V11" s="32"/>
      <c r="W11" s="32"/>
      <c r="X11" s="32"/>
      <c r="Y11" s="32"/>
      <c r="Z11" s="32"/>
    </row>
    <row r="12" spans="1:26">
      <c r="A12" s="33"/>
      <c r="B12" s="41" t="s">
        <v>186</v>
      </c>
      <c r="C12" s="43">
        <f t="shared" ref="C12:K12" si="3">C11/C5</f>
        <v>5.1527306386917618E-2</v>
      </c>
      <c r="D12" s="43">
        <f t="shared" si="3"/>
        <v>-4.0029736375593299E-3</v>
      </c>
      <c r="E12" s="43">
        <f t="shared" si="3"/>
        <v>1.3815402704291593E-2</v>
      </c>
      <c r="F12" s="43">
        <f t="shared" si="3"/>
        <v>-3.0633083730428862E-2</v>
      </c>
      <c r="G12" s="43">
        <f t="shared" si="3"/>
        <v>1.9550342130987292E-2</v>
      </c>
      <c r="H12" s="43">
        <f t="shared" si="3"/>
        <v>3.7554314090626942E-2</v>
      </c>
      <c r="I12" s="43">
        <f t="shared" si="3"/>
        <v>5.1433638782146025E-2</v>
      </c>
      <c r="J12" s="43">
        <f t="shared" si="3"/>
        <v>6.4470720720720714E-2</v>
      </c>
      <c r="K12" s="43">
        <f t="shared" si="3"/>
        <v>7.3458445040214482E-2</v>
      </c>
      <c r="L12" s="33"/>
      <c r="M12" s="32"/>
      <c r="N12" s="32"/>
      <c r="O12" s="32"/>
      <c r="P12" s="32"/>
      <c r="Q12" s="32"/>
      <c r="R12" s="32"/>
      <c r="S12" s="32"/>
      <c r="T12" s="32"/>
      <c r="U12" s="32"/>
      <c r="V12" s="32"/>
      <c r="W12" s="32"/>
      <c r="X12" s="32"/>
      <c r="Y12" s="32"/>
      <c r="Z12" s="32"/>
    </row>
    <row r="13" spans="1:26">
      <c r="A13" s="33"/>
      <c r="B13" s="42"/>
      <c r="C13" s="42"/>
      <c r="D13" s="42"/>
      <c r="E13" s="42"/>
      <c r="F13" s="42"/>
      <c r="G13" s="42"/>
      <c r="H13" s="42"/>
      <c r="I13" s="42"/>
      <c r="J13" s="42"/>
      <c r="K13" s="42"/>
      <c r="L13" s="33"/>
      <c r="M13" s="32"/>
      <c r="N13" s="32"/>
      <c r="O13" s="32"/>
      <c r="P13" s="32"/>
      <c r="Q13" s="32"/>
      <c r="R13" s="32"/>
      <c r="S13" s="32"/>
      <c r="T13" s="32"/>
      <c r="U13" s="32"/>
      <c r="V13" s="32"/>
      <c r="W13" s="32"/>
      <c r="X13" s="32"/>
      <c r="Y13" s="32"/>
      <c r="Z13" s="32"/>
    </row>
    <row r="14" spans="1:26">
      <c r="A14" s="33"/>
      <c r="B14" s="34" t="s">
        <v>114</v>
      </c>
      <c r="C14" s="44"/>
      <c r="D14" s="44"/>
      <c r="E14" s="44"/>
      <c r="F14" s="44"/>
      <c r="G14" s="40">
        <f t="shared" ref="G14:K14" si="4">G11*(G15)</f>
        <v>15.600000000000001</v>
      </c>
      <c r="H14" s="40">
        <f t="shared" si="4"/>
        <v>31.46</v>
      </c>
      <c r="I14" s="40">
        <f t="shared" si="4"/>
        <v>45.24</v>
      </c>
      <c r="J14" s="40">
        <f t="shared" si="4"/>
        <v>59.54</v>
      </c>
      <c r="K14" s="40">
        <f t="shared" si="4"/>
        <v>71.240000000000009</v>
      </c>
      <c r="L14" s="33"/>
      <c r="M14" s="32"/>
      <c r="N14" s="32"/>
      <c r="O14" s="32"/>
      <c r="P14" s="32"/>
      <c r="Q14" s="32"/>
      <c r="R14" s="32"/>
      <c r="S14" s="32"/>
      <c r="T14" s="32"/>
      <c r="U14" s="32"/>
      <c r="V14" s="32"/>
      <c r="W14" s="32"/>
      <c r="X14" s="32"/>
      <c r="Y14" s="32"/>
      <c r="Z14" s="32"/>
    </row>
    <row r="15" spans="1:26">
      <c r="A15" s="33"/>
      <c r="B15" s="41" t="s">
        <v>188</v>
      </c>
      <c r="C15" s="42"/>
      <c r="D15" s="42"/>
      <c r="E15" s="42"/>
      <c r="F15" s="42"/>
      <c r="G15" s="43">
        <v>0.26</v>
      </c>
      <c r="H15" s="43">
        <v>0.26</v>
      </c>
      <c r="I15" s="43">
        <v>0.26</v>
      </c>
      <c r="J15" s="43">
        <v>0.26</v>
      </c>
      <c r="K15" s="43">
        <v>0.26</v>
      </c>
      <c r="L15" s="33"/>
      <c r="M15" s="32"/>
      <c r="N15" s="32"/>
      <c r="O15" s="32"/>
      <c r="P15" s="32"/>
      <c r="Q15" s="32"/>
      <c r="R15" s="32"/>
      <c r="S15" s="32"/>
      <c r="T15" s="32"/>
      <c r="U15" s="32"/>
      <c r="V15" s="32"/>
      <c r="W15" s="32"/>
      <c r="X15" s="32"/>
      <c r="Y15" s="32"/>
      <c r="Z15" s="32"/>
    </row>
    <row r="16" spans="1:26">
      <c r="A16" s="33"/>
      <c r="B16" s="42"/>
      <c r="C16" s="42"/>
      <c r="D16" s="42"/>
      <c r="E16" s="42"/>
      <c r="F16" s="42"/>
      <c r="G16" s="42"/>
      <c r="H16" s="42"/>
      <c r="I16" s="42"/>
      <c r="J16" s="42"/>
      <c r="K16" s="42"/>
      <c r="L16" s="33"/>
      <c r="M16" s="32"/>
      <c r="N16" s="32"/>
      <c r="O16" s="32"/>
      <c r="P16" s="32"/>
      <c r="Q16" s="32"/>
      <c r="R16" s="32"/>
      <c r="S16" s="32"/>
      <c r="T16" s="32"/>
      <c r="U16" s="32"/>
      <c r="V16" s="32"/>
      <c r="W16" s="32"/>
      <c r="X16" s="32"/>
      <c r="Y16" s="32"/>
      <c r="Z16" s="32"/>
    </row>
    <row r="17" spans="1:26">
      <c r="A17" s="33"/>
      <c r="B17" s="34" t="s">
        <v>189</v>
      </c>
      <c r="C17" s="33"/>
      <c r="D17" s="33"/>
      <c r="E17" s="33"/>
      <c r="F17" s="33"/>
      <c r="G17" s="40">
        <f t="shared" ref="G17:K17" si="5">G11-G14</f>
        <v>44.4</v>
      </c>
      <c r="H17" s="40">
        <f t="shared" si="5"/>
        <v>89.539999999999992</v>
      </c>
      <c r="I17" s="40">
        <f t="shared" si="5"/>
        <v>128.76</v>
      </c>
      <c r="J17" s="40">
        <f t="shared" si="5"/>
        <v>169.46</v>
      </c>
      <c r="K17" s="40">
        <f t="shared" si="5"/>
        <v>202.76</v>
      </c>
      <c r="L17" s="33"/>
      <c r="M17" s="32"/>
      <c r="N17" s="32"/>
      <c r="O17" s="32"/>
      <c r="P17" s="32"/>
      <c r="Q17" s="32"/>
      <c r="R17" s="32"/>
      <c r="S17" s="32"/>
      <c r="T17" s="32"/>
      <c r="U17" s="32"/>
      <c r="V17" s="32"/>
      <c r="W17" s="32"/>
      <c r="X17" s="32"/>
      <c r="Y17" s="32"/>
      <c r="Z17" s="32"/>
    </row>
    <row r="18" spans="1:26">
      <c r="A18" s="33"/>
      <c r="B18" s="33"/>
      <c r="C18" s="33"/>
      <c r="D18" s="33"/>
      <c r="E18" s="33"/>
      <c r="F18" s="33"/>
      <c r="G18" s="44"/>
      <c r="H18" s="44"/>
      <c r="I18" s="44"/>
      <c r="J18" s="44"/>
      <c r="K18" s="44"/>
      <c r="L18" s="33"/>
      <c r="M18" s="32"/>
      <c r="N18" s="32"/>
      <c r="O18" s="32"/>
      <c r="P18" s="32"/>
      <c r="Q18" s="32"/>
      <c r="R18" s="32"/>
      <c r="S18" s="32"/>
      <c r="T18" s="32"/>
      <c r="U18" s="32"/>
      <c r="V18" s="32"/>
      <c r="W18" s="32"/>
      <c r="X18" s="32"/>
      <c r="Y18" s="32"/>
      <c r="Z18" s="32"/>
    </row>
    <row r="19" spans="1:26">
      <c r="A19" s="33"/>
      <c r="B19" s="34" t="s">
        <v>190</v>
      </c>
      <c r="C19" s="33"/>
      <c r="D19" s="33"/>
      <c r="E19" s="33"/>
      <c r="F19" s="33"/>
      <c r="G19" s="40">
        <v>125</v>
      </c>
      <c r="H19" s="40">
        <v>128</v>
      </c>
      <c r="I19" s="40">
        <v>131</v>
      </c>
      <c r="J19" s="40">
        <v>135</v>
      </c>
      <c r="K19" s="40">
        <v>138</v>
      </c>
      <c r="L19" s="33"/>
      <c r="M19" s="32"/>
      <c r="N19" s="32"/>
      <c r="O19" s="32"/>
      <c r="P19" s="32"/>
      <c r="Q19" s="32"/>
      <c r="R19" s="32"/>
      <c r="S19" s="32"/>
      <c r="T19" s="32"/>
      <c r="U19" s="32"/>
      <c r="V19" s="32"/>
      <c r="W19" s="32"/>
      <c r="X19" s="32"/>
      <c r="Y19" s="32"/>
      <c r="Z19" s="32"/>
    </row>
    <row r="20" spans="1:26">
      <c r="A20" s="33"/>
      <c r="B20" s="33"/>
      <c r="C20" s="33"/>
      <c r="D20" s="33"/>
      <c r="E20" s="33"/>
      <c r="F20" s="33"/>
      <c r="G20" s="44"/>
      <c r="H20" s="44"/>
      <c r="I20" s="44"/>
      <c r="J20" s="44"/>
      <c r="K20" s="44"/>
      <c r="L20" s="33"/>
      <c r="M20" s="32"/>
      <c r="N20" s="32"/>
      <c r="O20" s="32"/>
      <c r="P20" s="32"/>
      <c r="Q20" s="32"/>
      <c r="R20" s="32"/>
      <c r="S20" s="32"/>
      <c r="T20" s="32"/>
      <c r="U20" s="32"/>
      <c r="V20" s="32"/>
      <c r="W20" s="32"/>
      <c r="X20" s="32"/>
      <c r="Y20" s="32"/>
      <c r="Z20" s="32"/>
    </row>
    <row r="21" spans="1:26">
      <c r="A21" s="33"/>
      <c r="B21" s="34" t="s">
        <v>148</v>
      </c>
      <c r="C21" s="33"/>
      <c r="D21" s="33"/>
      <c r="E21" s="33"/>
      <c r="F21" s="33"/>
      <c r="G21" s="40">
        <v>386</v>
      </c>
      <c r="H21" s="40">
        <v>372</v>
      </c>
      <c r="I21" s="40">
        <v>370</v>
      </c>
      <c r="J21" s="40">
        <v>354</v>
      </c>
      <c r="K21" s="40">
        <v>350.7</v>
      </c>
      <c r="L21" s="33"/>
      <c r="M21" s="32"/>
      <c r="N21" s="32"/>
      <c r="O21" s="32"/>
      <c r="P21" s="32"/>
      <c r="Q21" s="32"/>
      <c r="R21" s="32"/>
      <c r="S21" s="32"/>
      <c r="T21" s="32"/>
      <c r="U21" s="32"/>
      <c r="V21" s="32"/>
      <c r="W21" s="32"/>
      <c r="X21" s="32"/>
      <c r="Y21" s="32"/>
      <c r="Z21" s="32"/>
    </row>
    <row r="22" spans="1:26">
      <c r="A22" s="33"/>
      <c r="B22" s="33"/>
      <c r="C22" s="33"/>
      <c r="D22" s="33"/>
      <c r="E22" s="33"/>
      <c r="F22" s="33"/>
      <c r="G22" s="44"/>
      <c r="H22" s="44"/>
      <c r="I22" s="44"/>
      <c r="J22" s="44"/>
      <c r="K22" s="44"/>
      <c r="L22" s="33"/>
      <c r="M22" s="32"/>
      <c r="N22" s="32"/>
      <c r="O22" s="32"/>
      <c r="P22" s="32"/>
      <c r="Q22" s="32"/>
      <c r="R22" s="32"/>
      <c r="S22" s="32"/>
      <c r="T22" s="32"/>
      <c r="U22" s="32"/>
      <c r="V22" s="32"/>
      <c r="W22" s="32"/>
      <c r="X22" s="32"/>
      <c r="Y22" s="32"/>
      <c r="Z22" s="32"/>
    </row>
    <row r="23" spans="1:26">
      <c r="A23" s="33"/>
      <c r="B23" s="34" t="s">
        <v>191</v>
      </c>
      <c r="C23" s="33"/>
      <c r="D23" s="33"/>
      <c r="E23" s="33"/>
      <c r="F23" s="33"/>
      <c r="G23" s="40">
        <v>141</v>
      </c>
      <c r="H23" s="40">
        <v>132</v>
      </c>
      <c r="I23" s="40">
        <v>136</v>
      </c>
      <c r="J23" s="40">
        <v>139</v>
      </c>
      <c r="K23" s="40">
        <v>143</v>
      </c>
      <c r="L23" s="33"/>
      <c r="M23" s="32"/>
      <c r="N23" s="32"/>
      <c r="O23" s="32"/>
      <c r="P23" s="32"/>
      <c r="Q23" s="32"/>
      <c r="R23" s="32"/>
      <c r="S23" s="32"/>
      <c r="T23" s="32"/>
      <c r="U23" s="32"/>
      <c r="V23" s="32"/>
      <c r="W23" s="32"/>
      <c r="X23" s="32"/>
      <c r="Y23" s="32"/>
      <c r="Z23" s="32"/>
    </row>
    <row r="24" spans="1:26">
      <c r="A24" s="33"/>
      <c r="B24" s="33"/>
      <c r="C24" s="33"/>
      <c r="D24" s="33"/>
      <c r="E24" s="33"/>
      <c r="F24" s="33"/>
      <c r="G24" s="44"/>
      <c r="H24" s="44"/>
      <c r="I24" s="44"/>
      <c r="J24" s="44"/>
      <c r="K24" s="44"/>
      <c r="L24" s="33"/>
      <c r="M24" s="32"/>
      <c r="N24" s="32"/>
      <c r="O24" s="32"/>
      <c r="P24" s="32"/>
      <c r="Q24" s="32"/>
      <c r="R24" s="32"/>
      <c r="S24" s="32"/>
      <c r="T24" s="32"/>
      <c r="U24" s="32"/>
      <c r="V24" s="32"/>
      <c r="W24" s="32"/>
      <c r="X24" s="32"/>
      <c r="Y24" s="32"/>
      <c r="Z24" s="32"/>
    </row>
    <row r="25" spans="1:26">
      <c r="A25" s="33"/>
      <c r="B25" s="34" t="s">
        <v>192</v>
      </c>
      <c r="C25" s="33"/>
      <c r="D25" s="33"/>
      <c r="E25" s="33"/>
      <c r="F25" s="33"/>
      <c r="G25" s="40">
        <f t="shared" ref="G25:K25" si="6">G17+G19+G21+G23</f>
        <v>696.4</v>
      </c>
      <c r="H25" s="40">
        <f t="shared" si="6"/>
        <v>721.54</v>
      </c>
      <c r="I25" s="40">
        <f t="shared" si="6"/>
        <v>765.76</v>
      </c>
      <c r="J25" s="40">
        <f t="shared" si="6"/>
        <v>797.46</v>
      </c>
      <c r="K25" s="40">
        <f t="shared" si="6"/>
        <v>834.46</v>
      </c>
      <c r="L25" s="33"/>
      <c r="M25" s="32"/>
      <c r="N25" s="32"/>
      <c r="O25" s="32"/>
      <c r="P25" s="32"/>
      <c r="Q25" s="32"/>
      <c r="R25" s="32"/>
      <c r="S25" s="32"/>
      <c r="T25" s="32"/>
      <c r="U25" s="32"/>
      <c r="V25" s="32"/>
      <c r="W25" s="32"/>
      <c r="X25" s="32"/>
      <c r="Y25" s="32"/>
      <c r="Z25" s="32"/>
    </row>
    <row r="26" spans="1:26">
      <c r="A26" s="33"/>
      <c r="B26" s="33"/>
      <c r="C26" s="33"/>
      <c r="D26" s="33"/>
      <c r="E26" s="33"/>
      <c r="F26" s="33"/>
      <c r="G26" s="44"/>
      <c r="H26" s="44"/>
      <c r="I26" s="44"/>
      <c r="J26" s="44"/>
      <c r="K26" s="44"/>
      <c r="L26" s="33"/>
      <c r="M26" s="32"/>
      <c r="N26" s="32"/>
      <c r="O26" s="32"/>
      <c r="P26" s="32"/>
      <c r="Q26" s="32"/>
      <c r="R26" s="32"/>
      <c r="S26" s="32"/>
      <c r="T26" s="32"/>
      <c r="U26" s="32"/>
      <c r="V26" s="32"/>
      <c r="W26" s="32"/>
      <c r="X26" s="32"/>
      <c r="Y26" s="32"/>
      <c r="Z26" s="32"/>
    </row>
    <row r="27" spans="1:26">
      <c r="A27" s="33"/>
      <c r="B27" s="34" t="s">
        <v>193</v>
      </c>
      <c r="C27" s="33"/>
      <c r="D27" s="33"/>
      <c r="E27" s="33"/>
      <c r="F27" s="33"/>
      <c r="G27" s="40">
        <f t="shared" ref="G27:K27" ca="1" si="7">G25/(1+$C$31)^G28</f>
        <v>656.2567543853221</v>
      </c>
      <c r="H27" s="40">
        <f t="shared" ca="1" si="7"/>
        <v>705.53284109573337</v>
      </c>
      <c r="I27" s="40">
        <f t="shared" ca="1" si="7"/>
        <v>690.11228849797419</v>
      </c>
      <c r="J27" s="40">
        <f t="shared" ca="1" si="7"/>
        <v>662.37854069568618</v>
      </c>
      <c r="K27" s="40">
        <f t="shared" ca="1" si="7"/>
        <v>638.81209599571071</v>
      </c>
      <c r="L27" s="33"/>
      <c r="M27" s="32"/>
      <c r="N27" s="32"/>
      <c r="O27" s="32"/>
      <c r="P27" s="32"/>
      <c r="Q27" s="32"/>
      <c r="R27" s="32"/>
      <c r="S27" s="32"/>
      <c r="T27" s="32"/>
      <c r="U27" s="32"/>
      <c r="V27" s="32"/>
      <c r="W27" s="32"/>
      <c r="X27" s="32"/>
      <c r="Y27" s="32"/>
      <c r="Z27" s="32"/>
    </row>
    <row r="28" spans="1:26">
      <c r="A28" s="33"/>
      <c r="B28" s="34" t="s">
        <v>194</v>
      </c>
      <c r="C28" s="33"/>
      <c r="D28" s="33"/>
      <c r="E28" s="33"/>
      <c r="F28" s="33"/>
      <c r="G28" s="45">
        <f t="shared" ref="G28:K28" ca="1" si="8">YEARFRAC(TODAY(),G3)</f>
        <v>0.72777777777777775</v>
      </c>
      <c r="H28" s="45">
        <f t="shared" ca="1" si="8"/>
        <v>0.27500000000000002</v>
      </c>
      <c r="I28" s="45">
        <f t="shared" ca="1" si="8"/>
        <v>1.2749999999999999</v>
      </c>
      <c r="J28" s="45">
        <f t="shared" ca="1" si="8"/>
        <v>2.2749999999999999</v>
      </c>
      <c r="K28" s="45">
        <f t="shared" ca="1" si="8"/>
        <v>3.2749999999999999</v>
      </c>
      <c r="L28" s="33"/>
      <c r="M28" s="32"/>
      <c r="N28" s="32"/>
      <c r="O28" s="32"/>
      <c r="P28" s="32"/>
      <c r="Q28" s="32"/>
      <c r="R28" s="32"/>
      <c r="S28" s="32"/>
      <c r="T28" s="32"/>
      <c r="U28" s="32"/>
      <c r="V28" s="32"/>
      <c r="W28" s="32"/>
      <c r="X28" s="32"/>
      <c r="Y28" s="32"/>
      <c r="Z28" s="32"/>
    </row>
    <row r="29" spans="1:26">
      <c r="A29" s="33"/>
      <c r="B29" s="34" t="s">
        <v>195</v>
      </c>
      <c r="C29" s="40">
        <f>I25</f>
        <v>765.76</v>
      </c>
      <c r="D29" s="33"/>
      <c r="E29" s="33"/>
      <c r="F29" s="33"/>
      <c r="G29" s="33"/>
      <c r="H29" s="33"/>
      <c r="I29" s="33"/>
      <c r="J29" s="33"/>
      <c r="K29" s="33"/>
      <c r="L29" s="33"/>
      <c r="M29" s="32"/>
      <c r="N29" s="32"/>
      <c r="O29" s="32"/>
      <c r="P29" s="32"/>
      <c r="Q29" s="32"/>
      <c r="R29" s="32"/>
      <c r="S29" s="32"/>
      <c r="T29" s="32"/>
      <c r="U29" s="32"/>
      <c r="V29" s="32"/>
      <c r="W29" s="32"/>
      <c r="X29" s="32"/>
      <c r="Y29" s="32"/>
      <c r="Z29" s="32"/>
    </row>
    <row r="30" spans="1:26">
      <c r="A30" s="33"/>
      <c r="B30" s="34" t="s">
        <v>196</v>
      </c>
      <c r="C30" s="40">
        <f>J25</f>
        <v>797.46</v>
      </c>
      <c r="D30" s="33"/>
      <c r="E30" s="33"/>
      <c r="F30" s="33"/>
      <c r="G30" s="33"/>
      <c r="H30" s="33"/>
      <c r="I30" s="33"/>
      <c r="J30" s="33"/>
      <c r="K30" s="33"/>
      <c r="L30" s="33"/>
      <c r="M30" s="32"/>
      <c r="N30" s="32"/>
      <c r="O30" s="32"/>
      <c r="P30" s="32"/>
      <c r="Q30" s="32"/>
      <c r="R30" s="32"/>
      <c r="S30" s="32"/>
      <c r="T30" s="32"/>
      <c r="U30" s="32"/>
      <c r="V30" s="32"/>
      <c r="W30" s="32"/>
      <c r="X30" s="32"/>
      <c r="Y30" s="32"/>
      <c r="Z30" s="32"/>
    </row>
    <row r="31" spans="1:26">
      <c r="A31" s="33"/>
      <c r="B31" s="34" t="s">
        <v>197</v>
      </c>
      <c r="C31" s="46">
        <v>8.5000000000000006E-2</v>
      </c>
      <c r="D31" s="33"/>
      <c r="E31" s="33"/>
      <c r="F31" s="33"/>
      <c r="G31" s="33"/>
      <c r="H31" s="33"/>
      <c r="I31" s="33"/>
      <c r="J31" s="33"/>
      <c r="K31" s="33"/>
      <c r="L31" s="33"/>
      <c r="M31" s="32"/>
      <c r="N31" s="32"/>
      <c r="O31" s="32"/>
      <c r="P31" s="32"/>
      <c r="Q31" s="32"/>
      <c r="R31" s="32"/>
      <c r="S31" s="32"/>
      <c r="T31" s="32"/>
      <c r="U31" s="32"/>
      <c r="V31" s="32"/>
      <c r="W31" s="32"/>
      <c r="X31" s="32"/>
      <c r="Y31" s="32"/>
      <c r="Z31" s="32"/>
    </row>
    <row r="32" spans="1:26">
      <c r="A32" s="33"/>
      <c r="B32" s="34" t="s">
        <v>198</v>
      </c>
      <c r="C32" s="47">
        <v>0.02</v>
      </c>
      <c r="D32" s="33"/>
      <c r="E32" s="33"/>
      <c r="F32" s="33"/>
      <c r="G32" s="33"/>
      <c r="H32" s="33"/>
      <c r="I32" s="33"/>
      <c r="J32" s="33"/>
      <c r="K32" s="33"/>
      <c r="L32" s="33"/>
      <c r="M32" s="32"/>
      <c r="N32" s="32"/>
      <c r="O32" s="32"/>
      <c r="P32" s="32"/>
      <c r="Q32" s="32"/>
      <c r="R32" s="32"/>
      <c r="S32" s="32"/>
      <c r="T32" s="32"/>
      <c r="U32" s="32"/>
      <c r="V32" s="32"/>
      <c r="W32" s="32"/>
      <c r="X32" s="32"/>
      <c r="Y32" s="32"/>
      <c r="Z32" s="32"/>
    </row>
    <row r="33" spans="1:26">
      <c r="A33" s="33"/>
      <c r="B33" s="34" t="s">
        <v>199</v>
      </c>
      <c r="C33" s="40">
        <f>K25*(1+C32)/(C31-C32)</f>
        <v>13094.603076923078</v>
      </c>
      <c r="D33" s="33"/>
      <c r="E33" s="33"/>
      <c r="F33" s="33"/>
      <c r="G33" s="33"/>
      <c r="H33" s="33"/>
      <c r="I33" s="33"/>
      <c r="J33" s="33"/>
      <c r="K33" s="33"/>
      <c r="L33" s="33"/>
      <c r="M33" s="32"/>
      <c r="N33" s="32"/>
      <c r="O33" s="32"/>
      <c r="P33" s="32"/>
      <c r="Q33" s="32"/>
      <c r="R33" s="32"/>
      <c r="S33" s="32"/>
      <c r="T33" s="32"/>
      <c r="U33" s="32"/>
      <c r="V33" s="32"/>
      <c r="W33" s="32"/>
      <c r="X33" s="32"/>
      <c r="Y33" s="32"/>
      <c r="Z33" s="32"/>
    </row>
    <row r="34" spans="1:26">
      <c r="A34" s="33"/>
      <c r="B34" s="34" t="s">
        <v>200</v>
      </c>
      <c r="C34" s="40">
        <f ca="1">C33/(1+C31)^K28</f>
        <v>10024.435967932692</v>
      </c>
      <c r="D34" s="33"/>
      <c r="E34" s="33"/>
      <c r="F34" s="33"/>
      <c r="G34" s="33"/>
      <c r="H34" s="33"/>
      <c r="I34" s="33"/>
      <c r="J34" s="33"/>
      <c r="K34" s="33"/>
      <c r="L34" s="33"/>
      <c r="M34" s="32"/>
      <c r="N34" s="32"/>
      <c r="O34" s="32"/>
      <c r="P34" s="32"/>
      <c r="Q34" s="32"/>
      <c r="R34" s="32"/>
      <c r="S34" s="32"/>
      <c r="T34" s="32"/>
      <c r="U34" s="32"/>
      <c r="V34" s="32"/>
      <c r="W34" s="32"/>
      <c r="X34" s="32"/>
      <c r="Y34" s="32"/>
      <c r="Z34" s="32"/>
    </row>
    <row r="35" spans="1:26">
      <c r="A35" s="33"/>
      <c r="B35" s="37" t="s">
        <v>201</v>
      </c>
      <c r="C35" s="48">
        <f ca="1">SUM(G27:K27)</f>
        <v>3353.0925206704269</v>
      </c>
      <c r="D35" s="33"/>
      <c r="E35" s="33"/>
      <c r="F35" s="33"/>
      <c r="G35" s="33"/>
      <c r="H35" s="33"/>
      <c r="I35" s="33"/>
      <c r="J35" s="33"/>
      <c r="K35" s="33"/>
      <c r="L35" s="33"/>
      <c r="M35" s="32"/>
      <c r="N35" s="32"/>
      <c r="O35" s="32"/>
      <c r="P35" s="32"/>
      <c r="Q35" s="32"/>
      <c r="R35" s="32"/>
      <c r="S35" s="32"/>
      <c r="T35" s="32"/>
      <c r="U35" s="32"/>
      <c r="V35" s="32"/>
      <c r="W35" s="32"/>
      <c r="X35" s="32"/>
      <c r="Y35" s="32"/>
      <c r="Z35" s="32"/>
    </row>
    <row r="36" spans="1:26">
      <c r="A36" s="33"/>
      <c r="B36" s="49" t="s">
        <v>202</v>
      </c>
      <c r="C36" s="40">
        <f ca="1">SUM(C34:C35)</f>
        <v>13377.528488603119</v>
      </c>
      <c r="D36" s="33"/>
      <c r="E36" s="33"/>
      <c r="F36" s="33"/>
      <c r="G36" s="33"/>
      <c r="H36" s="33"/>
      <c r="I36" s="33"/>
      <c r="J36" s="33"/>
      <c r="K36" s="33"/>
      <c r="L36" s="33"/>
      <c r="M36" s="32"/>
      <c r="N36" s="32"/>
      <c r="O36" s="32"/>
      <c r="P36" s="32"/>
      <c r="Q36" s="32"/>
      <c r="R36" s="32"/>
      <c r="S36" s="32"/>
      <c r="T36" s="32"/>
      <c r="U36" s="32"/>
      <c r="V36" s="32"/>
      <c r="W36" s="32"/>
      <c r="X36" s="32"/>
      <c r="Y36" s="32"/>
      <c r="Z36" s="32"/>
    </row>
    <row r="37" spans="1:26">
      <c r="A37" s="33"/>
      <c r="B37" s="50" t="s">
        <v>203</v>
      </c>
      <c r="C37" s="51">
        <f ca="1">C36/K8</f>
        <v>16.998130226941701</v>
      </c>
      <c r="D37" s="33"/>
      <c r="E37" s="33"/>
      <c r="F37" s="33"/>
      <c r="G37" s="33"/>
      <c r="H37" s="33"/>
      <c r="I37" s="33"/>
      <c r="J37" s="33"/>
      <c r="K37" s="33"/>
      <c r="L37" s="33"/>
      <c r="M37" s="32"/>
      <c r="N37" s="32"/>
      <c r="O37" s="32"/>
      <c r="P37" s="32"/>
      <c r="Q37" s="32"/>
      <c r="R37" s="32"/>
      <c r="S37" s="32"/>
      <c r="T37" s="32"/>
      <c r="U37" s="32"/>
      <c r="V37" s="32"/>
      <c r="W37" s="32"/>
      <c r="X37" s="32"/>
      <c r="Y37" s="32"/>
      <c r="Z37" s="32"/>
    </row>
    <row r="38" spans="1:26">
      <c r="A38" s="33"/>
      <c r="B38" s="34" t="s">
        <v>126</v>
      </c>
      <c r="C38" s="52">
        <v>312</v>
      </c>
      <c r="D38" s="33"/>
      <c r="E38" s="33"/>
      <c r="F38" s="33"/>
      <c r="G38" s="33"/>
      <c r="H38" s="33"/>
      <c r="I38" s="33"/>
      <c r="J38" s="33"/>
      <c r="K38" s="33"/>
      <c r="L38" s="33"/>
      <c r="M38" s="32"/>
      <c r="N38" s="32"/>
      <c r="O38" s="32"/>
      <c r="P38" s="32"/>
      <c r="Q38" s="32"/>
      <c r="R38" s="32"/>
      <c r="S38" s="32"/>
      <c r="T38" s="32"/>
      <c r="U38" s="32"/>
      <c r="V38" s="32"/>
      <c r="W38" s="32"/>
      <c r="X38" s="32"/>
      <c r="Y38" s="32"/>
      <c r="Z38" s="32"/>
    </row>
    <row r="39" spans="1:26">
      <c r="A39" s="33"/>
      <c r="B39" s="37" t="s">
        <v>204</v>
      </c>
      <c r="C39" s="53">
        <v>2450</v>
      </c>
      <c r="D39" s="33"/>
      <c r="E39" s="33"/>
      <c r="F39" s="33"/>
      <c r="G39" s="33"/>
      <c r="H39" s="33"/>
      <c r="I39" s="33"/>
      <c r="J39" s="33"/>
      <c r="K39" s="33"/>
      <c r="L39" s="33"/>
      <c r="M39" s="32"/>
      <c r="N39" s="32"/>
      <c r="O39" s="32"/>
      <c r="P39" s="32"/>
      <c r="Q39" s="32"/>
      <c r="R39" s="32"/>
      <c r="S39" s="32"/>
      <c r="T39" s="32"/>
      <c r="U39" s="32"/>
      <c r="V39" s="32"/>
      <c r="W39" s="32"/>
      <c r="X39" s="32"/>
      <c r="Y39" s="32"/>
      <c r="Z39" s="32"/>
    </row>
    <row r="40" spans="1:26">
      <c r="A40" s="33"/>
      <c r="B40" s="54" t="s">
        <v>205</v>
      </c>
      <c r="C40" s="55">
        <f>C39-C38</f>
        <v>2138</v>
      </c>
      <c r="D40" s="33"/>
      <c r="E40" s="33"/>
      <c r="F40" s="33"/>
      <c r="G40" s="33"/>
      <c r="H40" s="33"/>
      <c r="I40" s="33"/>
      <c r="J40" s="33"/>
      <c r="K40" s="33"/>
      <c r="L40" s="33"/>
      <c r="M40" s="32"/>
      <c r="N40" s="32"/>
      <c r="O40" s="32"/>
      <c r="P40" s="32"/>
      <c r="Q40" s="32"/>
      <c r="R40" s="32"/>
      <c r="S40" s="32"/>
      <c r="T40" s="32"/>
      <c r="U40" s="32"/>
      <c r="V40" s="32"/>
      <c r="W40" s="32"/>
      <c r="X40" s="32"/>
      <c r="Y40" s="32"/>
      <c r="Z40" s="32"/>
    </row>
    <row r="41" spans="1:26">
      <c r="A41" s="33"/>
      <c r="B41" s="34" t="s">
        <v>206</v>
      </c>
      <c r="C41" s="52">
        <f ca="1">C36-C40</f>
        <v>11239.528488603119</v>
      </c>
      <c r="D41" s="33"/>
      <c r="E41" s="33"/>
      <c r="F41" s="33"/>
      <c r="G41" s="33"/>
      <c r="H41" s="33"/>
      <c r="I41" s="33"/>
      <c r="J41" s="33"/>
      <c r="K41" s="33"/>
      <c r="L41" s="33"/>
      <c r="M41" s="32"/>
      <c r="N41" s="32"/>
      <c r="O41" s="32"/>
      <c r="P41" s="32"/>
      <c r="Q41" s="32"/>
      <c r="R41" s="32"/>
      <c r="S41" s="32"/>
      <c r="T41" s="32"/>
      <c r="U41" s="32"/>
      <c r="V41" s="32"/>
      <c r="W41" s="32"/>
      <c r="X41" s="32"/>
      <c r="Y41" s="32"/>
      <c r="Z41" s="32"/>
    </row>
    <row r="42" spans="1:26">
      <c r="A42" s="33"/>
      <c r="B42" s="37" t="s">
        <v>207</v>
      </c>
      <c r="C42" s="56">
        <v>558</v>
      </c>
      <c r="D42" s="33"/>
      <c r="E42" s="33"/>
      <c r="F42" s="33"/>
      <c r="G42" s="33"/>
      <c r="H42" s="33"/>
      <c r="I42" s="33"/>
      <c r="J42" s="33"/>
      <c r="K42" s="33"/>
      <c r="L42" s="33"/>
      <c r="M42" s="32"/>
      <c r="N42" s="32"/>
      <c r="O42" s="32"/>
      <c r="P42" s="32"/>
      <c r="Q42" s="32"/>
      <c r="R42" s="32"/>
      <c r="S42" s="32"/>
      <c r="T42" s="32"/>
      <c r="U42" s="32"/>
      <c r="V42" s="32"/>
      <c r="W42" s="32"/>
      <c r="X42" s="32"/>
      <c r="Y42" s="32"/>
      <c r="Z42" s="32"/>
    </row>
    <row r="43" spans="1:26">
      <c r="A43" s="33"/>
      <c r="B43" s="34" t="s">
        <v>208</v>
      </c>
      <c r="C43" s="57">
        <f ca="1">C41/C42</f>
        <v>20.142524173123867</v>
      </c>
      <c r="D43" s="33"/>
      <c r="E43" s="33"/>
      <c r="F43" s="33"/>
      <c r="G43" s="33"/>
      <c r="H43" s="33"/>
      <c r="I43" s="33"/>
      <c r="J43" s="33"/>
      <c r="K43" s="33"/>
      <c r="L43" s="33"/>
      <c r="M43" s="32"/>
      <c r="N43" s="32"/>
      <c r="O43" s="32"/>
      <c r="P43" s="32"/>
      <c r="Q43" s="32"/>
      <c r="R43" s="32"/>
      <c r="S43" s="32"/>
      <c r="T43" s="32"/>
      <c r="U43" s="32"/>
      <c r="V43" s="32"/>
      <c r="W43" s="32"/>
      <c r="X43" s="32"/>
      <c r="Y43" s="32"/>
      <c r="Z43" s="32"/>
    </row>
    <row r="44" spans="1:26">
      <c r="A44" s="33"/>
      <c r="B44" s="34" t="s">
        <v>209</v>
      </c>
      <c r="C44" s="58">
        <v>0.14000000000000001</v>
      </c>
      <c r="D44" s="33"/>
      <c r="E44" s="33"/>
      <c r="F44" s="33"/>
      <c r="G44" s="33"/>
      <c r="H44" s="33"/>
      <c r="I44" s="33"/>
      <c r="J44" s="33"/>
      <c r="K44" s="33"/>
      <c r="L44" s="33"/>
      <c r="M44" s="32"/>
      <c r="N44" s="32"/>
      <c r="O44" s="32"/>
      <c r="P44" s="32"/>
      <c r="Q44" s="32"/>
      <c r="R44" s="32"/>
      <c r="S44" s="32"/>
      <c r="T44" s="32"/>
      <c r="U44" s="32"/>
      <c r="V44" s="32"/>
      <c r="W44" s="32"/>
      <c r="X44" s="32"/>
      <c r="Y44" s="32"/>
      <c r="Z44" s="32"/>
    </row>
    <row r="45" spans="1:26">
      <c r="A45" s="33"/>
      <c r="B45" s="33"/>
      <c r="C45" s="33"/>
      <c r="D45" s="33"/>
      <c r="E45" s="33"/>
      <c r="F45" s="33"/>
      <c r="G45" s="33"/>
      <c r="H45" s="33"/>
      <c r="I45" s="33"/>
      <c r="J45" s="33"/>
      <c r="K45" s="33"/>
      <c r="L45" s="33"/>
      <c r="M45" s="32"/>
      <c r="N45" s="32"/>
      <c r="O45" s="32"/>
      <c r="P45" s="32"/>
      <c r="Q45" s="32"/>
      <c r="R45" s="32"/>
      <c r="S45" s="32"/>
      <c r="T45" s="32"/>
      <c r="U45" s="32"/>
      <c r="V45" s="32"/>
      <c r="W45" s="32"/>
      <c r="X45" s="32"/>
      <c r="Y45" s="32"/>
      <c r="Z45" s="32"/>
    </row>
    <row r="46" spans="1:26">
      <c r="A46" s="33"/>
      <c r="B46" s="33"/>
      <c r="C46" s="33"/>
      <c r="D46" s="33"/>
      <c r="E46" s="33"/>
      <c r="F46" s="33"/>
      <c r="G46" s="33"/>
      <c r="H46" s="33"/>
      <c r="I46" s="33"/>
      <c r="J46" s="33"/>
      <c r="K46" s="33"/>
      <c r="L46" s="33"/>
      <c r="M46" s="32"/>
      <c r="N46" s="32"/>
      <c r="O46" s="32"/>
      <c r="P46" s="32"/>
      <c r="Q46" s="32"/>
      <c r="R46" s="32"/>
      <c r="S46" s="32"/>
      <c r="T46" s="32"/>
      <c r="U46" s="32"/>
      <c r="V46" s="32"/>
      <c r="W46" s="32"/>
      <c r="X46" s="32"/>
      <c r="Y46" s="32"/>
      <c r="Z46" s="32"/>
    </row>
    <row r="47" spans="1:26">
      <c r="A47" s="33"/>
      <c r="B47" s="33"/>
      <c r="C47" s="33"/>
      <c r="D47" s="33"/>
      <c r="E47" s="33"/>
      <c r="F47" s="33"/>
      <c r="G47" s="33"/>
      <c r="H47" s="33"/>
      <c r="I47" s="33"/>
      <c r="J47" s="33"/>
      <c r="K47" s="33"/>
      <c r="L47" s="33"/>
      <c r="M47" s="32"/>
      <c r="N47" s="32"/>
      <c r="O47" s="32"/>
      <c r="P47" s="32"/>
      <c r="Q47" s="32"/>
      <c r="R47" s="32"/>
      <c r="S47" s="32"/>
      <c r="T47" s="32"/>
      <c r="U47" s="32"/>
      <c r="V47" s="32"/>
      <c r="W47" s="32"/>
      <c r="X47" s="32"/>
      <c r="Y47" s="32"/>
      <c r="Z47" s="32"/>
    </row>
    <row r="48" spans="1:26">
      <c r="A48" s="33"/>
      <c r="B48" s="33"/>
      <c r="C48" s="33"/>
      <c r="D48" s="33"/>
      <c r="E48" s="33"/>
      <c r="F48" s="33"/>
      <c r="G48" s="33"/>
      <c r="H48" s="33"/>
      <c r="I48" s="33"/>
      <c r="J48" s="33"/>
      <c r="K48" s="33"/>
      <c r="L48" s="33"/>
      <c r="M48" s="32"/>
      <c r="N48" s="32"/>
      <c r="O48" s="32"/>
      <c r="P48" s="32"/>
      <c r="Q48" s="32"/>
      <c r="R48" s="32"/>
      <c r="S48" s="32"/>
      <c r="T48" s="32"/>
      <c r="U48" s="32"/>
      <c r="V48" s="32"/>
      <c r="W48" s="32"/>
      <c r="X48" s="32"/>
      <c r="Y48" s="32"/>
      <c r="Z48" s="32"/>
    </row>
    <row r="49" spans="1:26">
      <c r="A49" s="33"/>
      <c r="B49" s="33"/>
      <c r="C49" s="33"/>
      <c r="D49" s="33"/>
      <c r="E49" s="33"/>
      <c r="F49" s="33"/>
      <c r="G49" s="33"/>
      <c r="H49" s="33"/>
      <c r="I49" s="33"/>
      <c r="J49" s="33"/>
      <c r="K49" s="33"/>
      <c r="L49" s="33"/>
      <c r="M49" s="32"/>
      <c r="N49" s="32"/>
      <c r="O49" s="32"/>
      <c r="P49" s="32"/>
      <c r="Q49" s="32"/>
      <c r="R49" s="32"/>
      <c r="S49" s="32"/>
      <c r="T49" s="32"/>
      <c r="U49" s="32"/>
      <c r="V49" s="32"/>
      <c r="W49" s="32"/>
      <c r="X49" s="32"/>
      <c r="Y49" s="32"/>
      <c r="Z49" s="32"/>
    </row>
    <row r="50" spans="1:26">
      <c r="A50" s="33"/>
      <c r="B50" s="33"/>
      <c r="C50" s="33"/>
      <c r="D50" s="33"/>
      <c r="E50" s="33"/>
      <c r="F50" s="33"/>
      <c r="G50" s="33"/>
      <c r="H50" s="33"/>
      <c r="I50" s="33"/>
      <c r="J50" s="33"/>
      <c r="K50" s="33"/>
      <c r="L50" s="33"/>
      <c r="M50" s="32"/>
      <c r="N50" s="32"/>
      <c r="O50" s="32"/>
      <c r="P50" s="32"/>
      <c r="Q50" s="32"/>
      <c r="R50" s="32"/>
      <c r="S50" s="32"/>
      <c r="T50" s="32"/>
      <c r="U50" s="32"/>
      <c r="V50" s="32"/>
      <c r="W50" s="32"/>
      <c r="X50" s="32"/>
      <c r="Y50" s="32"/>
      <c r="Z50" s="32"/>
    </row>
    <row r="51" spans="1:26">
      <c r="A51" s="33"/>
      <c r="B51" s="33"/>
      <c r="C51" s="33"/>
      <c r="D51" s="33"/>
      <c r="E51" s="33"/>
      <c r="F51" s="33"/>
      <c r="G51" s="33"/>
      <c r="H51" s="33"/>
      <c r="I51" s="33"/>
      <c r="J51" s="33"/>
      <c r="K51" s="33"/>
      <c r="L51" s="33"/>
      <c r="M51" s="32"/>
      <c r="N51" s="32"/>
      <c r="O51" s="32"/>
      <c r="P51" s="32"/>
      <c r="Q51" s="32"/>
      <c r="R51" s="32"/>
      <c r="S51" s="32"/>
      <c r="T51" s="32"/>
      <c r="U51" s="32"/>
      <c r="V51" s="32"/>
      <c r="W51" s="32"/>
      <c r="X51" s="32"/>
      <c r="Y51" s="32"/>
      <c r="Z51" s="32"/>
    </row>
    <row r="52" spans="1:26">
      <c r="A52" s="33"/>
      <c r="B52" s="33"/>
      <c r="C52" s="33"/>
      <c r="D52" s="33"/>
      <c r="E52" s="33"/>
      <c r="F52" s="33"/>
      <c r="G52" s="33"/>
      <c r="H52" s="33"/>
      <c r="I52" s="33"/>
      <c r="J52" s="33"/>
      <c r="K52" s="33"/>
      <c r="L52" s="33"/>
      <c r="M52" s="32"/>
      <c r="N52" s="32"/>
      <c r="O52" s="32"/>
      <c r="P52" s="32"/>
      <c r="Q52" s="32"/>
      <c r="R52" s="32"/>
      <c r="S52" s="32"/>
      <c r="T52" s="32"/>
      <c r="U52" s="32"/>
      <c r="V52" s="32"/>
      <c r="W52" s="32"/>
      <c r="X52" s="32"/>
      <c r="Y52" s="32"/>
      <c r="Z52" s="32"/>
    </row>
    <row r="53" spans="1:26">
      <c r="A53" s="33"/>
      <c r="B53" s="33"/>
      <c r="C53" s="33"/>
      <c r="D53" s="33"/>
      <c r="E53" s="33"/>
      <c r="F53" s="33"/>
      <c r="G53" s="33"/>
      <c r="H53" s="33"/>
      <c r="I53" s="33"/>
      <c r="J53" s="33"/>
      <c r="K53" s="33"/>
      <c r="L53" s="33"/>
      <c r="M53" s="32"/>
      <c r="N53" s="32"/>
      <c r="O53" s="32"/>
      <c r="P53" s="32"/>
      <c r="Q53" s="32"/>
      <c r="R53" s="32"/>
      <c r="S53" s="32"/>
      <c r="T53" s="32"/>
      <c r="U53" s="32"/>
      <c r="V53" s="32"/>
      <c r="W53" s="32"/>
      <c r="X53" s="32"/>
      <c r="Y53" s="32"/>
      <c r="Z53" s="32"/>
    </row>
    <row r="54" spans="1:26">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spans="1:26">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sheetData>
  <mergeCells count="1">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998"/>
  <sheetViews>
    <sheetView workbookViewId="0"/>
  </sheetViews>
  <sheetFormatPr baseColWidth="10" defaultColWidth="12.6640625" defaultRowHeight="15" customHeight="1"/>
  <cols>
    <col min="2" max="2" width="22.6640625" customWidth="1"/>
    <col min="3" max="3" width="15.6640625" customWidth="1"/>
    <col min="5" max="5" width="14.6640625" customWidth="1"/>
  </cols>
  <sheetData>
    <row r="1" spans="1:28">
      <c r="A1" s="33"/>
      <c r="B1" s="33"/>
      <c r="C1" s="33"/>
      <c r="D1" s="33"/>
      <c r="E1" s="33"/>
      <c r="F1" s="33"/>
      <c r="G1" s="33"/>
      <c r="H1" s="33"/>
      <c r="I1" s="33"/>
      <c r="J1" s="33"/>
      <c r="K1" s="33"/>
      <c r="L1" s="33"/>
      <c r="M1" s="33"/>
      <c r="N1" s="33"/>
      <c r="O1" s="33"/>
      <c r="P1" s="33"/>
      <c r="Q1" s="59"/>
      <c r="R1" s="59"/>
      <c r="S1" s="59"/>
      <c r="T1" s="59"/>
      <c r="U1" s="59"/>
      <c r="V1" s="59"/>
      <c r="W1" s="59"/>
      <c r="X1" s="59"/>
      <c r="Y1" s="59"/>
      <c r="Z1" s="59"/>
      <c r="AA1" s="59"/>
      <c r="AB1" s="59"/>
    </row>
    <row r="2" spans="1:28">
      <c r="A2" s="60" t="s">
        <v>210</v>
      </c>
      <c r="B2" s="61">
        <v>46120</v>
      </c>
      <c r="C2" s="33"/>
      <c r="D2" s="33"/>
      <c r="E2" s="33"/>
      <c r="F2" s="33"/>
      <c r="G2" s="33"/>
      <c r="H2" s="33"/>
      <c r="I2" s="33"/>
      <c r="J2" s="33"/>
      <c r="K2" s="33"/>
      <c r="L2" s="33"/>
      <c r="M2" s="33"/>
      <c r="N2" s="33"/>
      <c r="O2" s="33"/>
      <c r="P2" s="33"/>
      <c r="Q2" s="59"/>
      <c r="R2" s="59"/>
      <c r="S2" s="59"/>
      <c r="T2" s="59"/>
      <c r="U2" s="59"/>
      <c r="V2" s="59"/>
      <c r="W2" s="59"/>
      <c r="X2" s="59"/>
      <c r="Y2" s="59"/>
      <c r="Z2" s="59"/>
      <c r="AA2" s="59"/>
      <c r="AB2" s="59"/>
    </row>
    <row r="3" spans="1:28">
      <c r="A3" s="33"/>
      <c r="B3" s="62"/>
      <c r="C3" s="33"/>
      <c r="D3" s="33"/>
      <c r="E3" s="33"/>
      <c r="F3" s="33"/>
      <c r="G3" s="33"/>
      <c r="H3" s="33"/>
      <c r="I3" s="33"/>
      <c r="J3" s="33"/>
      <c r="K3" s="33"/>
      <c r="L3" s="33"/>
      <c r="M3" s="33"/>
      <c r="N3" s="33"/>
      <c r="O3" s="33"/>
      <c r="P3" s="33"/>
      <c r="Q3" s="59"/>
      <c r="R3" s="59"/>
      <c r="S3" s="59"/>
      <c r="T3" s="59"/>
      <c r="U3" s="59"/>
      <c r="V3" s="59"/>
      <c r="W3" s="59"/>
      <c r="X3" s="59"/>
      <c r="Y3" s="59"/>
      <c r="Z3" s="59"/>
      <c r="AA3" s="59"/>
      <c r="AB3" s="59"/>
    </row>
    <row r="4" spans="1:28" ht="15" customHeight="1">
      <c r="A4" s="63" t="s">
        <v>211</v>
      </c>
      <c r="B4" s="62"/>
      <c r="C4" s="33"/>
      <c r="D4" s="33"/>
      <c r="E4" s="33"/>
      <c r="F4" s="33"/>
      <c r="G4" s="33"/>
      <c r="H4" s="33"/>
      <c r="I4" s="33"/>
      <c r="J4" s="33"/>
      <c r="K4" s="33"/>
      <c r="L4" s="33"/>
      <c r="M4" s="33"/>
      <c r="N4" s="33"/>
      <c r="O4" s="33"/>
      <c r="P4" s="33"/>
      <c r="Q4" s="59"/>
      <c r="R4" s="59"/>
      <c r="S4" s="59"/>
      <c r="T4" s="59"/>
      <c r="U4" s="59"/>
      <c r="V4" s="59"/>
      <c r="W4" s="59"/>
      <c r="X4" s="59"/>
      <c r="Y4" s="59"/>
      <c r="Z4" s="59"/>
      <c r="AA4" s="59"/>
      <c r="AB4" s="59"/>
    </row>
    <row r="5" spans="1:28">
      <c r="A5" s="33"/>
      <c r="B5" s="62"/>
      <c r="C5" s="33"/>
      <c r="D5" s="33"/>
      <c r="E5" s="33"/>
      <c r="F5" s="33"/>
      <c r="G5" s="33"/>
      <c r="H5" s="33"/>
      <c r="I5" s="33"/>
      <c r="J5" s="33"/>
      <c r="K5" s="33"/>
      <c r="L5" s="33"/>
      <c r="M5" s="33"/>
      <c r="N5" s="33"/>
      <c r="O5" s="33"/>
      <c r="P5" s="33"/>
      <c r="Q5" s="59"/>
      <c r="R5" s="59"/>
      <c r="S5" s="59"/>
      <c r="T5" s="59"/>
      <c r="U5" s="59"/>
      <c r="V5" s="59"/>
      <c r="W5" s="59"/>
      <c r="X5" s="59"/>
      <c r="Y5" s="59"/>
      <c r="Z5" s="59"/>
      <c r="AA5" s="59"/>
      <c r="AB5" s="59"/>
    </row>
    <row r="6" spans="1:28">
      <c r="A6" s="64"/>
      <c r="B6" s="64"/>
      <c r="C6" s="64"/>
      <c r="D6" s="65" t="s">
        <v>212</v>
      </c>
      <c r="E6" s="64"/>
      <c r="F6" s="64"/>
      <c r="G6" s="64"/>
      <c r="H6" s="64"/>
      <c r="I6" s="65" t="s">
        <v>213</v>
      </c>
      <c r="J6" s="210" t="s">
        <v>214</v>
      </c>
      <c r="K6" s="210" t="s">
        <v>215</v>
      </c>
      <c r="L6" s="212"/>
      <c r="M6" s="65" t="s">
        <v>187</v>
      </c>
      <c r="N6" s="64"/>
      <c r="O6" s="33"/>
      <c r="P6" s="33"/>
      <c r="Q6" s="59"/>
      <c r="R6" s="59"/>
      <c r="S6" s="59"/>
      <c r="T6" s="59"/>
      <c r="U6" s="59"/>
      <c r="V6" s="59"/>
      <c r="W6" s="59"/>
      <c r="X6" s="59"/>
      <c r="Y6" s="59"/>
      <c r="Z6" s="59"/>
      <c r="AA6" s="59"/>
      <c r="AB6" s="59"/>
    </row>
    <row r="7" spans="1:28">
      <c r="A7" s="64"/>
      <c r="B7" s="64"/>
      <c r="C7" s="65" t="s">
        <v>216</v>
      </c>
      <c r="D7" s="65" t="s">
        <v>217</v>
      </c>
      <c r="E7" s="65" t="s">
        <v>212</v>
      </c>
      <c r="F7" s="65" t="s">
        <v>218</v>
      </c>
      <c r="G7" s="65" t="s">
        <v>218</v>
      </c>
      <c r="H7" s="65" t="s">
        <v>212</v>
      </c>
      <c r="I7" s="65" t="s">
        <v>219</v>
      </c>
      <c r="J7" s="211"/>
      <c r="K7" s="213"/>
      <c r="L7" s="214"/>
      <c r="M7" s="65" t="s">
        <v>186</v>
      </c>
      <c r="N7" s="65" t="s">
        <v>220</v>
      </c>
      <c r="O7" s="33"/>
      <c r="P7" s="33"/>
      <c r="Q7" s="59"/>
      <c r="R7" s="59"/>
      <c r="S7" s="59"/>
      <c r="T7" s="59"/>
      <c r="U7" s="59"/>
      <c r="V7" s="59"/>
      <c r="W7" s="59"/>
      <c r="X7" s="59"/>
      <c r="Y7" s="59"/>
      <c r="Z7" s="59"/>
      <c r="AA7" s="59"/>
      <c r="AB7" s="59"/>
    </row>
    <row r="8" spans="1:28">
      <c r="A8" s="66" t="s">
        <v>221</v>
      </c>
      <c r="B8" s="66" t="s">
        <v>222</v>
      </c>
      <c r="C8" s="66" t="s">
        <v>223</v>
      </c>
      <c r="D8" s="66" t="s">
        <v>224</v>
      </c>
      <c r="E8" s="66" t="s">
        <v>225</v>
      </c>
      <c r="F8" s="66" t="s">
        <v>213</v>
      </c>
      <c r="G8" s="66" t="s">
        <v>226</v>
      </c>
      <c r="H8" s="66" t="s">
        <v>219</v>
      </c>
      <c r="I8" s="66" t="s">
        <v>227</v>
      </c>
      <c r="J8" s="66" t="s">
        <v>228</v>
      </c>
      <c r="K8" s="66" t="s">
        <v>228</v>
      </c>
      <c r="L8" s="66" t="s">
        <v>229</v>
      </c>
      <c r="M8" s="66" t="s">
        <v>230</v>
      </c>
      <c r="N8" s="66" t="s">
        <v>231</v>
      </c>
      <c r="O8" s="33"/>
      <c r="P8" s="33"/>
      <c r="Q8" s="59"/>
      <c r="R8" s="59"/>
      <c r="S8" s="59"/>
      <c r="T8" s="59"/>
      <c r="U8" s="59"/>
      <c r="V8" s="59"/>
      <c r="W8" s="59"/>
      <c r="X8" s="59"/>
      <c r="Y8" s="59"/>
      <c r="Z8" s="59"/>
      <c r="AA8" s="59"/>
      <c r="AB8" s="59"/>
    </row>
    <row r="9" spans="1:28">
      <c r="A9" s="32" t="s">
        <v>232</v>
      </c>
      <c r="B9" s="67" t="s">
        <v>233</v>
      </c>
      <c r="C9" s="68">
        <v>73.28</v>
      </c>
      <c r="D9" s="69">
        <v>3.4</v>
      </c>
      <c r="E9" s="69">
        <v>3.36</v>
      </c>
      <c r="F9" s="70">
        <v>0.87</v>
      </c>
      <c r="G9" s="70">
        <v>0.157</v>
      </c>
      <c r="H9" s="69">
        <v>1.48</v>
      </c>
      <c r="I9" s="70">
        <v>0.155</v>
      </c>
      <c r="J9" s="32">
        <v>15.9</v>
      </c>
      <c r="K9" s="32">
        <v>17.2</v>
      </c>
      <c r="L9" s="32">
        <v>14.8</v>
      </c>
      <c r="M9" s="70">
        <v>0.16500000000000001</v>
      </c>
      <c r="N9" s="71" t="s">
        <v>234</v>
      </c>
      <c r="O9" s="72"/>
      <c r="P9" s="33"/>
      <c r="Q9" s="59"/>
      <c r="R9" s="59"/>
      <c r="S9" s="59"/>
      <c r="T9" s="59"/>
      <c r="U9" s="59"/>
      <c r="V9" s="59"/>
      <c r="W9" s="59"/>
      <c r="X9" s="59"/>
      <c r="Y9" s="59"/>
      <c r="Z9" s="59"/>
      <c r="AA9" s="59"/>
      <c r="AB9" s="59"/>
    </row>
    <row r="10" spans="1:28">
      <c r="A10" s="67" t="s">
        <v>235</v>
      </c>
      <c r="B10" s="67" t="s">
        <v>236</v>
      </c>
      <c r="C10" s="73">
        <v>346.54</v>
      </c>
      <c r="D10" s="74">
        <v>8.61</v>
      </c>
      <c r="E10" s="74">
        <v>8.75</v>
      </c>
      <c r="F10" s="70">
        <v>1.3879999999999999</v>
      </c>
      <c r="G10" s="70">
        <v>0.214</v>
      </c>
      <c r="H10" s="69">
        <v>2.35</v>
      </c>
      <c r="I10" s="70">
        <v>0.122</v>
      </c>
      <c r="J10" s="75">
        <v>19</v>
      </c>
      <c r="K10" s="75">
        <v>22.5</v>
      </c>
      <c r="L10" s="75">
        <v>19.100000000000001</v>
      </c>
      <c r="M10" s="70">
        <v>0.182</v>
      </c>
      <c r="N10" s="76">
        <v>8.0999999999999996E-3</v>
      </c>
      <c r="O10" s="72"/>
      <c r="P10" s="33"/>
      <c r="Q10" s="77"/>
      <c r="R10" s="78"/>
      <c r="S10" s="59"/>
      <c r="T10" s="59"/>
      <c r="U10" s="59"/>
      <c r="V10" s="59"/>
      <c r="W10" s="59"/>
      <c r="X10" s="59"/>
      <c r="Y10" s="59"/>
      <c r="Z10" s="59"/>
      <c r="AA10" s="59"/>
      <c r="AB10" s="59"/>
    </row>
    <row r="11" spans="1:28">
      <c r="A11" s="67" t="s">
        <v>237</v>
      </c>
      <c r="B11" s="67" t="s">
        <v>238</v>
      </c>
      <c r="C11" s="73">
        <v>78.42</v>
      </c>
      <c r="D11" s="74">
        <v>33.72</v>
      </c>
      <c r="E11" s="74">
        <v>25.15</v>
      </c>
      <c r="F11" s="70">
        <v>0.126</v>
      </c>
      <c r="G11" s="70">
        <v>6.0999999999999999E-2</v>
      </c>
      <c r="H11" s="69">
        <v>8.25</v>
      </c>
      <c r="I11" s="70">
        <v>0.26</v>
      </c>
      <c r="J11" s="75">
        <v>28.4</v>
      </c>
      <c r="K11" s="75">
        <v>24.8</v>
      </c>
      <c r="L11" s="75">
        <v>20.399999999999999</v>
      </c>
      <c r="M11" s="70">
        <v>0.29099999999999998</v>
      </c>
      <c r="N11" s="71" t="s">
        <v>234</v>
      </c>
      <c r="O11" s="72"/>
      <c r="P11" s="33"/>
      <c r="Q11" s="59"/>
      <c r="R11" s="59"/>
      <c r="S11" s="59"/>
      <c r="T11" s="59"/>
      <c r="U11" s="59"/>
      <c r="V11" s="59"/>
      <c r="W11" s="59"/>
      <c r="X11" s="59"/>
      <c r="Y11" s="59"/>
      <c r="Z11" s="59"/>
      <c r="AA11" s="59"/>
      <c r="AB11" s="59"/>
    </row>
    <row r="12" spans="1:28">
      <c r="A12" s="67" t="s">
        <v>239</v>
      </c>
      <c r="B12" s="67" t="s">
        <v>240</v>
      </c>
      <c r="C12" s="73">
        <v>12.53</v>
      </c>
      <c r="D12" s="74">
        <v>28.15</v>
      </c>
      <c r="E12" s="74">
        <v>26.98</v>
      </c>
      <c r="F12" s="70">
        <v>0.28999999999999998</v>
      </c>
      <c r="G12" s="70">
        <v>0.11799999999999999</v>
      </c>
      <c r="H12" s="69">
        <v>14.85</v>
      </c>
      <c r="I12" s="70">
        <v>0.113</v>
      </c>
      <c r="J12" s="75">
        <v>8.6</v>
      </c>
      <c r="K12" s="75">
        <v>11.4</v>
      </c>
      <c r="L12" s="75">
        <v>10.1</v>
      </c>
      <c r="M12" s="70">
        <v>0.105</v>
      </c>
      <c r="N12" s="76">
        <v>1.35E-2</v>
      </c>
      <c r="O12" s="72"/>
      <c r="P12" s="33"/>
      <c r="Q12" s="59"/>
      <c r="R12" s="59"/>
      <c r="S12" s="59"/>
      <c r="T12" s="59"/>
      <c r="U12" s="59"/>
      <c r="V12" s="59"/>
      <c r="W12" s="59"/>
      <c r="X12" s="59"/>
      <c r="Y12" s="59"/>
      <c r="Z12" s="59"/>
      <c r="AA12" s="59"/>
      <c r="AB12" s="59"/>
    </row>
    <row r="13" spans="1:28">
      <c r="A13" s="67" t="s">
        <v>241</v>
      </c>
      <c r="B13" s="32" t="s">
        <v>242</v>
      </c>
      <c r="C13" s="73">
        <v>26.15</v>
      </c>
      <c r="D13" s="74">
        <v>4.12</v>
      </c>
      <c r="E13" s="74">
        <v>7.82</v>
      </c>
      <c r="F13" s="70">
        <v>1.4219999999999999</v>
      </c>
      <c r="G13" s="70">
        <v>0.183</v>
      </c>
      <c r="H13" s="69">
        <v>3.62</v>
      </c>
      <c r="I13" s="70">
        <v>7.0000000000000007E-2</v>
      </c>
      <c r="J13" s="75">
        <v>16.100000000000001</v>
      </c>
      <c r="K13" s="75">
        <v>19.3</v>
      </c>
      <c r="L13" s="75">
        <v>15.5</v>
      </c>
      <c r="M13" s="70">
        <v>0.14299999999999999</v>
      </c>
      <c r="N13" s="76">
        <v>2.2499999999999999E-2</v>
      </c>
      <c r="O13" s="72"/>
      <c r="P13" s="33"/>
      <c r="Q13" s="59"/>
      <c r="R13" s="59"/>
      <c r="S13" s="59"/>
      <c r="T13" s="59"/>
      <c r="U13" s="59"/>
      <c r="V13" s="59"/>
      <c r="W13" s="59"/>
      <c r="X13" s="59"/>
      <c r="Y13" s="59"/>
      <c r="Z13" s="59"/>
      <c r="AA13" s="59"/>
      <c r="AB13" s="59"/>
    </row>
    <row r="14" spans="1:28">
      <c r="A14" s="79"/>
      <c r="B14" s="80" t="s">
        <v>243</v>
      </c>
      <c r="C14" s="81">
        <f t="shared" ref="C14:N14" si="0">AVERAGE(C9:C13)</f>
        <v>107.38400000000001</v>
      </c>
      <c r="D14" s="81">
        <f t="shared" si="0"/>
        <v>15.6</v>
      </c>
      <c r="E14" s="81">
        <f t="shared" si="0"/>
        <v>14.412000000000001</v>
      </c>
      <c r="F14" s="82">
        <f t="shared" si="0"/>
        <v>0.81920000000000004</v>
      </c>
      <c r="G14" s="82">
        <f t="shared" si="0"/>
        <v>0.14660000000000001</v>
      </c>
      <c r="H14" s="83">
        <f t="shared" si="0"/>
        <v>6.11</v>
      </c>
      <c r="I14" s="82">
        <f t="shared" si="0"/>
        <v>0.14399999999999999</v>
      </c>
      <c r="J14" s="84">
        <f t="shared" si="0"/>
        <v>17.600000000000001</v>
      </c>
      <c r="K14" s="84">
        <f t="shared" si="0"/>
        <v>19.04</v>
      </c>
      <c r="L14" s="84">
        <f t="shared" si="0"/>
        <v>15.98</v>
      </c>
      <c r="M14" s="82">
        <f t="shared" si="0"/>
        <v>0.17719999999999997</v>
      </c>
      <c r="N14" s="85">
        <f t="shared" si="0"/>
        <v>1.47E-2</v>
      </c>
      <c r="O14" s="33"/>
      <c r="P14" s="33"/>
      <c r="Q14" s="59"/>
      <c r="R14" s="59"/>
      <c r="S14" s="59"/>
      <c r="T14" s="59"/>
      <c r="U14" s="59"/>
      <c r="V14" s="59"/>
      <c r="W14" s="59"/>
      <c r="X14" s="59"/>
      <c r="Y14" s="59"/>
      <c r="Z14" s="59"/>
      <c r="AA14" s="59"/>
      <c r="AB14" s="59"/>
    </row>
    <row r="15" spans="1:28">
      <c r="A15" s="86"/>
      <c r="B15" s="87" t="s">
        <v>244</v>
      </c>
      <c r="C15" s="88">
        <f t="shared" ref="C15:N15" si="1">MEDIAN(C9:C13)</f>
        <v>73.28</v>
      </c>
      <c r="D15" s="88">
        <f t="shared" si="1"/>
        <v>8.61</v>
      </c>
      <c r="E15" s="88">
        <f t="shared" si="1"/>
        <v>8.75</v>
      </c>
      <c r="F15" s="89">
        <f t="shared" si="1"/>
        <v>0.87</v>
      </c>
      <c r="G15" s="89">
        <f t="shared" si="1"/>
        <v>0.157</v>
      </c>
      <c r="H15" s="88">
        <f t="shared" si="1"/>
        <v>3.62</v>
      </c>
      <c r="I15" s="90">
        <f t="shared" si="1"/>
        <v>0.122</v>
      </c>
      <c r="J15" s="91">
        <f t="shared" si="1"/>
        <v>16.100000000000001</v>
      </c>
      <c r="K15" s="91">
        <f t="shared" si="1"/>
        <v>19.3</v>
      </c>
      <c r="L15" s="91">
        <f t="shared" si="1"/>
        <v>15.5</v>
      </c>
      <c r="M15" s="90">
        <f t="shared" si="1"/>
        <v>0.16500000000000001</v>
      </c>
      <c r="N15" s="92">
        <f t="shared" si="1"/>
        <v>1.35E-2</v>
      </c>
      <c r="O15" s="33"/>
      <c r="P15" s="33"/>
      <c r="Q15" s="59"/>
      <c r="R15" s="59"/>
      <c r="S15" s="59"/>
      <c r="T15" s="59"/>
      <c r="U15" s="59"/>
      <c r="V15" s="59"/>
      <c r="W15" s="59"/>
      <c r="X15" s="59"/>
      <c r="Y15" s="59"/>
      <c r="Z15" s="59"/>
      <c r="AA15" s="59"/>
      <c r="AB15" s="59"/>
    </row>
    <row r="16" spans="1:28">
      <c r="A16" s="33"/>
      <c r="B16" s="33"/>
      <c r="C16" s="93"/>
      <c r="D16" s="94"/>
      <c r="E16" s="94"/>
      <c r="F16" s="95"/>
      <c r="G16" s="95"/>
      <c r="H16" s="96"/>
      <c r="I16" s="42"/>
      <c r="J16" s="97"/>
      <c r="K16" s="97"/>
      <c r="L16" s="97"/>
      <c r="M16" s="42"/>
      <c r="N16" s="42"/>
      <c r="O16" s="33"/>
      <c r="P16" s="33"/>
      <c r="Q16" s="59"/>
      <c r="R16" s="59"/>
      <c r="S16" s="59"/>
      <c r="T16" s="59"/>
      <c r="U16" s="59"/>
      <c r="V16" s="59"/>
      <c r="W16" s="59"/>
      <c r="X16" s="59"/>
      <c r="Y16" s="59"/>
      <c r="Z16" s="59"/>
      <c r="AA16" s="59"/>
      <c r="AB16" s="59"/>
    </row>
    <row r="17" spans="1:28">
      <c r="A17" s="98" t="s">
        <v>245</v>
      </c>
      <c r="B17" s="99" t="s">
        <v>246</v>
      </c>
      <c r="C17" s="100">
        <v>23.51</v>
      </c>
      <c r="D17" s="101">
        <v>3.27</v>
      </c>
      <c r="E17" s="101">
        <v>3.08</v>
      </c>
      <c r="F17" s="101">
        <v>18.5</v>
      </c>
      <c r="G17" s="102">
        <v>4.2000000000000003E-2</v>
      </c>
      <c r="H17" s="103">
        <v>3.06</v>
      </c>
      <c r="I17" s="104">
        <v>0.121</v>
      </c>
      <c r="J17" s="105">
        <v>12.3</v>
      </c>
      <c r="K17" s="105">
        <v>14.1</v>
      </c>
      <c r="L17" s="105">
        <v>11.2</v>
      </c>
      <c r="M17" s="104">
        <v>0.11799999999999999</v>
      </c>
      <c r="N17" s="104">
        <v>1.7000000000000001E-2</v>
      </c>
      <c r="O17" s="98"/>
      <c r="P17" s="98"/>
      <c r="Q17" s="106"/>
      <c r="R17" s="106"/>
      <c r="S17" s="106"/>
      <c r="T17" s="106"/>
      <c r="U17" s="106"/>
      <c r="V17" s="106"/>
      <c r="W17" s="106"/>
      <c r="X17" s="106"/>
      <c r="Y17" s="106"/>
      <c r="Z17" s="106"/>
      <c r="AA17" s="106"/>
      <c r="AB17" s="106"/>
    </row>
    <row r="18" spans="1:28">
      <c r="A18" s="32"/>
      <c r="B18" s="32"/>
      <c r="C18" s="107"/>
      <c r="D18" s="74"/>
      <c r="E18" s="74"/>
      <c r="F18" s="108"/>
      <c r="G18" s="108"/>
      <c r="H18" s="109"/>
      <c r="I18" s="76"/>
      <c r="J18" s="75"/>
      <c r="K18" s="75"/>
      <c r="L18" s="75"/>
      <c r="M18" s="76"/>
      <c r="N18" s="76"/>
      <c r="O18" s="32"/>
      <c r="P18" s="32"/>
      <c r="Q18" s="59"/>
      <c r="R18" s="59"/>
      <c r="S18" s="59"/>
      <c r="T18" s="59"/>
      <c r="U18" s="59"/>
      <c r="V18" s="59"/>
      <c r="W18" s="59"/>
      <c r="X18" s="59"/>
      <c r="Y18" s="59"/>
      <c r="Z18" s="59"/>
      <c r="AA18" s="59"/>
      <c r="AB18" s="59"/>
    </row>
    <row r="19" spans="1:28">
      <c r="A19" s="32"/>
      <c r="B19" s="32"/>
      <c r="C19" s="107"/>
      <c r="D19" s="74"/>
      <c r="E19" s="74"/>
      <c r="F19" s="108"/>
      <c r="G19" s="108"/>
      <c r="H19" s="109"/>
      <c r="I19" s="76"/>
      <c r="J19" s="75"/>
      <c r="K19" s="75"/>
      <c r="L19" s="75"/>
      <c r="M19" s="76"/>
      <c r="N19" s="76"/>
      <c r="O19" s="32"/>
      <c r="P19" s="32"/>
      <c r="Q19" s="59"/>
      <c r="R19" s="59"/>
      <c r="S19" s="59"/>
      <c r="T19" s="59"/>
      <c r="U19" s="59"/>
      <c r="V19" s="59"/>
      <c r="W19" s="59"/>
      <c r="X19" s="59"/>
      <c r="Y19" s="59"/>
      <c r="Z19" s="59"/>
      <c r="AA19" s="59"/>
      <c r="AB19" s="59"/>
    </row>
    <row r="20" spans="1:28" ht="15" customHeight="1">
      <c r="A20" s="215" t="s">
        <v>247</v>
      </c>
      <c r="B20" s="176"/>
      <c r="C20" s="176"/>
      <c r="D20" s="176"/>
      <c r="E20" s="176"/>
      <c r="F20" s="32"/>
      <c r="G20" s="32"/>
      <c r="H20" s="32"/>
      <c r="I20" s="32"/>
      <c r="J20" s="32"/>
      <c r="K20" s="32"/>
      <c r="L20" s="32"/>
      <c r="M20" s="32"/>
      <c r="N20" s="32"/>
      <c r="O20" s="32"/>
      <c r="P20" s="32"/>
      <c r="Q20" s="59"/>
      <c r="R20" s="59"/>
      <c r="S20" s="59"/>
      <c r="T20" s="59"/>
      <c r="U20" s="59"/>
      <c r="V20" s="59"/>
      <c r="W20" s="59"/>
      <c r="X20" s="59"/>
      <c r="Y20" s="59"/>
      <c r="Z20" s="59"/>
      <c r="AA20" s="59"/>
      <c r="AB20" s="59"/>
    </row>
    <row r="21" spans="1:28">
      <c r="A21" s="110" t="s">
        <v>182</v>
      </c>
      <c r="B21" s="110" t="s">
        <v>248</v>
      </c>
      <c r="C21" s="110" t="s">
        <v>249</v>
      </c>
      <c r="D21" s="110" t="s">
        <v>250</v>
      </c>
      <c r="E21" s="110" t="s">
        <v>251</v>
      </c>
      <c r="F21" s="32"/>
      <c r="G21" s="32"/>
      <c r="H21" s="32"/>
      <c r="I21" s="32"/>
      <c r="J21" s="32"/>
      <c r="K21" s="32"/>
      <c r="L21" s="32"/>
      <c r="M21" s="32"/>
      <c r="N21" s="32"/>
      <c r="O21" s="32"/>
      <c r="P21" s="32"/>
      <c r="Q21" s="59"/>
      <c r="R21" s="59"/>
      <c r="S21" s="59"/>
      <c r="T21" s="59"/>
      <c r="U21" s="59"/>
      <c r="V21" s="59"/>
      <c r="W21" s="59"/>
      <c r="X21" s="59"/>
      <c r="Y21" s="59"/>
      <c r="Z21" s="59"/>
      <c r="AA21" s="59"/>
      <c r="AB21" s="32"/>
    </row>
    <row r="22" spans="1:28">
      <c r="A22" s="111">
        <v>46023</v>
      </c>
      <c r="B22" s="22" t="s">
        <v>252</v>
      </c>
      <c r="C22" s="22" t="s">
        <v>253</v>
      </c>
      <c r="D22" s="22" t="s">
        <v>254</v>
      </c>
      <c r="E22" s="22" t="s">
        <v>255</v>
      </c>
      <c r="F22" s="32"/>
      <c r="G22" s="59"/>
      <c r="H22" s="32"/>
      <c r="I22" s="75"/>
      <c r="J22" s="32"/>
      <c r="K22" s="32"/>
      <c r="L22" s="32"/>
      <c r="M22" s="32"/>
      <c r="N22" s="32"/>
      <c r="O22" s="32"/>
      <c r="P22" s="32"/>
      <c r="Q22" s="59"/>
      <c r="R22" s="59"/>
      <c r="S22" s="59"/>
      <c r="T22" s="59"/>
      <c r="U22" s="59"/>
      <c r="V22" s="59"/>
      <c r="W22" s="59"/>
      <c r="X22" s="59"/>
      <c r="Y22" s="59"/>
      <c r="Z22" s="59"/>
      <c r="AA22" s="59"/>
      <c r="AB22" s="32"/>
    </row>
    <row r="23" spans="1:28">
      <c r="A23" s="111">
        <v>44682</v>
      </c>
      <c r="B23" s="22" t="s">
        <v>256</v>
      </c>
      <c r="C23" s="22" t="s">
        <v>257</v>
      </c>
      <c r="D23" s="22" t="s">
        <v>254</v>
      </c>
      <c r="E23" s="22" t="s">
        <v>258</v>
      </c>
      <c r="F23" s="32"/>
      <c r="G23" s="32"/>
      <c r="H23" s="32"/>
      <c r="I23" s="32"/>
      <c r="J23" s="32"/>
      <c r="K23" s="32"/>
      <c r="L23" s="32"/>
      <c r="M23" s="32"/>
      <c r="N23" s="32"/>
      <c r="O23" s="32"/>
      <c r="P23" s="32"/>
      <c r="Q23" s="59"/>
      <c r="R23" s="59"/>
      <c r="S23" s="59"/>
      <c r="T23" s="59"/>
      <c r="U23" s="59"/>
      <c r="V23" s="59"/>
      <c r="W23" s="59"/>
      <c r="X23" s="59"/>
      <c r="Y23" s="59"/>
      <c r="Z23" s="59"/>
      <c r="AA23" s="59"/>
      <c r="AB23" s="32"/>
    </row>
    <row r="24" spans="1:28">
      <c r="A24" s="112">
        <v>44409</v>
      </c>
      <c r="B24" s="22" t="s">
        <v>259</v>
      </c>
      <c r="C24" s="22" t="s">
        <v>260</v>
      </c>
      <c r="D24" s="22" t="s">
        <v>254</v>
      </c>
      <c r="E24" s="32" t="s">
        <v>261</v>
      </c>
      <c r="F24" s="32"/>
      <c r="G24" s="32"/>
      <c r="H24" s="32"/>
      <c r="I24" s="32"/>
      <c r="J24" s="32"/>
      <c r="K24" s="32"/>
      <c r="L24" s="32"/>
      <c r="M24" s="32"/>
      <c r="N24" s="32"/>
      <c r="O24" s="32"/>
      <c r="P24" s="32"/>
      <c r="Q24" s="59"/>
      <c r="R24" s="59"/>
      <c r="S24" s="59"/>
      <c r="T24" s="59"/>
      <c r="U24" s="59"/>
      <c r="V24" s="59"/>
      <c r="W24" s="59"/>
      <c r="X24" s="59"/>
      <c r="Y24" s="59"/>
      <c r="Z24" s="59"/>
      <c r="AA24" s="59"/>
      <c r="AB24" s="59"/>
    </row>
    <row r="25" spans="1:28">
      <c r="A25" s="112">
        <v>44136</v>
      </c>
      <c r="B25" s="22" t="s">
        <v>262</v>
      </c>
      <c r="C25" s="22" t="s">
        <v>263</v>
      </c>
      <c r="D25" s="22" t="s">
        <v>254</v>
      </c>
      <c r="E25" s="22" t="s">
        <v>264</v>
      </c>
      <c r="F25" s="32"/>
      <c r="G25" s="32"/>
      <c r="H25" s="32"/>
      <c r="I25" s="32"/>
      <c r="J25" s="32"/>
      <c r="K25" s="32"/>
      <c r="L25" s="32"/>
      <c r="M25" s="32"/>
      <c r="N25" s="32"/>
      <c r="O25" s="32"/>
      <c r="P25" s="32"/>
      <c r="Q25" s="59"/>
      <c r="R25" s="59"/>
      <c r="S25" s="59"/>
      <c r="T25" s="59"/>
      <c r="U25" s="59"/>
      <c r="V25" s="59"/>
      <c r="W25" s="59"/>
      <c r="X25" s="59"/>
      <c r="Y25" s="59"/>
      <c r="Z25" s="59"/>
      <c r="AA25" s="59"/>
      <c r="AB25" s="59"/>
    </row>
    <row r="26" spans="1:28">
      <c r="A26" s="112">
        <v>43800</v>
      </c>
      <c r="B26" s="22" t="s">
        <v>265</v>
      </c>
      <c r="C26" s="22" t="s">
        <v>266</v>
      </c>
      <c r="D26" s="22" t="s">
        <v>254</v>
      </c>
      <c r="E26" s="22" t="s">
        <v>267</v>
      </c>
      <c r="F26" s="32"/>
      <c r="G26" s="32"/>
      <c r="H26" s="32"/>
      <c r="I26" s="32"/>
      <c r="J26" s="32"/>
      <c r="K26" s="32"/>
      <c r="L26" s="32"/>
      <c r="M26" s="32"/>
      <c r="N26" s="32"/>
      <c r="O26" s="32"/>
      <c r="P26" s="32"/>
      <c r="Q26" s="59"/>
      <c r="R26" s="59"/>
      <c r="S26" s="59"/>
      <c r="T26" s="59"/>
      <c r="U26" s="59"/>
      <c r="V26" s="59"/>
      <c r="W26" s="59"/>
      <c r="X26" s="59"/>
      <c r="Y26" s="59"/>
      <c r="Z26" s="59"/>
      <c r="AA26" s="59"/>
      <c r="AB26" s="59"/>
    </row>
    <row r="27" spans="1:28">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row>
    <row r="28" spans="1:28">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row>
    <row r="29" spans="1:28">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row>
    <row r="30" spans="1:28">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row>
    <row r="31" spans="1:28">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row>
    <row r="32" spans="1:28">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row>
    <row r="33" spans="1:28">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row>
    <row r="34" spans="1:28">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row>
    <row r="35" spans="1:28">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row>
    <row r="36" spans="1:28">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row>
    <row r="37" spans="1:28">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row>
    <row r="38" spans="1:2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row>
    <row r="39" spans="1:28">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row>
    <row r="40" spans="1:28">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row>
    <row r="41" spans="1:28">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row>
    <row r="42" spans="1:28">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row>
    <row r="43" spans="1:28">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row>
    <row r="44" spans="1:28">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row>
    <row r="45" spans="1:28">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row>
    <row r="46" spans="1:28">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row>
    <row r="47" spans="1:28">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row>
    <row r="48" spans="1:2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row>
    <row r="49" spans="1:28">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row>
    <row r="50" spans="1:28">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row>
    <row r="51" spans="1:28">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row>
    <row r="52" spans="1:28">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row>
    <row r="53" spans="1:28">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row>
    <row r="54" spans="1:28">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row>
    <row r="55" spans="1:28">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row>
    <row r="56" spans="1:28">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row>
    <row r="57" spans="1:28">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row>
    <row r="58" spans="1:2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row>
    <row r="59" spans="1:28">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row>
    <row r="60" spans="1:28">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row>
    <row r="61" spans="1:28">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row>
    <row r="62" spans="1:28">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row>
    <row r="63" spans="1:28">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row>
    <row r="64" spans="1:28">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row>
    <row r="65" spans="1:28">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row>
    <row r="66" spans="1:28">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row>
    <row r="67" spans="1:28">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row>
    <row r="68" spans="1:2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row>
    <row r="69" spans="1:28">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row>
    <row r="70" spans="1:28">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row>
    <row r="71" spans="1:28">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row>
    <row r="72" spans="1:28">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row>
    <row r="73" spans="1:28">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row>
    <row r="74" spans="1:28">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row>
    <row r="75" spans="1:28">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row>
    <row r="76" spans="1:28">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row>
    <row r="77" spans="1:28">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row>
    <row r="78" spans="1:2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row>
    <row r="79" spans="1:28">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row>
    <row r="80" spans="1:28">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row>
    <row r="81" spans="1:28">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row>
    <row r="82" spans="1:28">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row>
    <row r="83" spans="1:28">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row>
    <row r="84" spans="1:28">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row>
    <row r="85" spans="1:28">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row>
    <row r="86" spans="1:28">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row>
    <row r="87" spans="1:28">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row>
    <row r="88" spans="1:2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row>
    <row r="89" spans="1:28">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row>
    <row r="90" spans="1:28">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row>
    <row r="91" spans="1:28">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row>
    <row r="92" spans="1:28">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row>
    <row r="93" spans="1:28">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row>
    <row r="94" spans="1:28">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row>
    <row r="95" spans="1:28">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row>
    <row r="96" spans="1:28">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row>
    <row r="97" spans="1:28">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row>
    <row r="98" spans="1:2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row>
    <row r="99" spans="1:28">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row>
    <row r="100" spans="1:28">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row>
    <row r="101" spans="1:28">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row>
    <row r="102" spans="1:28">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row>
    <row r="103" spans="1:28">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row>
    <row r="104" spans="1:28">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row>
    <row r="105" spans="1:28">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row>
    <row r="106" spans="1:28">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row>
    <row r="107" spans="1:28">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row>
    <row r="108" spans="1:2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row>
    <row r="109" spans="1:28">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row>
    <row r="110" spans="1:28">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row>
    <row r="111" spans="1:28">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row>
    <row r="112" spans="1:28">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row>
    <row r="113" spans="1:28">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row>
    <row r="114" spans="1:28">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row>
    <row r="115" spans="1:28">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row>
    <row r="116" spans="1:28">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row>
    <row r="117" spans="1:28">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row>
    <row r="118" spans="1:2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row>
    <row r="119" spans="1:28">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row>
    <row r="120" spans="1:28">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row>
    <row r="121" spans="1:28">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row>
    <row r="122" spans="1:28">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row>
    <row r="123" spans="1:28">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row>
    <row r="124" spans="1:28">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row>
    <row r="125" spans="1:28">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row>
    <row r="126" spans="1:28">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row>
    <row r="127" spans="1:28">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row>
    <row r="128" spans="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row>
    <row r="129" spans="1:28">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row>
    <row r="130" spans="1:28">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row>
    <row r="131" spans="1:28">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row>
    <row r="132" spans="1:28">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row>
    <row r="133" spans="1:28">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row>
    <row r="134" spans="1:28">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row>
    <row r="135" spans="1:28">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row>
    <row r="136" spans="1:28">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row>
    <row r="137" spans="1:28">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row>
    <row r="138" spans="1:2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row>
    <row r="139" spans="1:28">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row>
    <row r="140" spans="1:28">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row>
    <row r="141" spans="1:28">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row>
    <row r="142" spans="1:28">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row>
    <row r="143" spans="1:28">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row>
    <row r="144" spans="1:28">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row>
    <row r="145" spans="1:28">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row>
    <row r="146" spans="1:28">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row>
    <row r="147" spans="1:28">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row>
    <row r="148" spans="1:2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row>
    <row r="149" spans="1:28">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row>
    <row r="150" spans="1:28">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row>
    <row r="151" spans="1:28">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row>
    <row r="152" spans="1:28">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row>
    <row r="153" spans="1:28">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row>
    <row r="154" spans="1:28">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row>
    <row r="155" spans="1:28">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row>
    <row r="156" spans="1:28">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row>
    <row r="157" spans="1:28">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row>
    <row r="158" spans="1:2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row>
    <row r="159" spans="1:28">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row>
    <row r="160" spans="1:28">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row>
    <row r="161" spans="1:28">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row>
    <row r="162" spans="1:28">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row>
    <row r="163" spans="1:28">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row>
    <row r="164" spans="1:28">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row>
    <row r="165" spans="1:28">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row>
    <row r="166" spans="1:28">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row>
    <row r="167" spans="1:28">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row>
    <row r="168" spans="1:2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row>
    <row r="169" spans="1:28">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row>
    <row r="170" spans="1:28">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row>
    <row r="171" spans="1:28">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row>
    <row r="172" spans="1:28">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row>
    <row r="173" spans="1:28">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row>
    <row r="174" spans="1:28">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row>
    <row r="175" spans="1:28">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row>
    <row r="176" spans="1:28">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row>
    <row r="177" spans="1:28">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row>
    <row r="178" spans="1:2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row>
    <row r="179" spans="1:28">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row>
    <row r="180" spans="1:28">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row>
    <row r="181" spans="1:28">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row>
    <row r="182" spans="1:28">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row>
    <row r="183" spans="1:28">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row>
    <row r="184" spans="1:28">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row>
    <row r="185" spans="1:28">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row>
    <row r="186" spans="1:28">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row>
    <row r="187" spans="1:28">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row>
    <row r="188" spans="1:2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row>
    <row r="189" spans="1:28">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row>
    <row r="190" spans="1:28">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row>
    <row r="191" spans="1:28">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row>
    <row r="192" spans="1:28">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row>
    <row r="193" spans="1:28">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row>
    <row r="194" spans="1:28">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row>
    <row r="195" spans="1:28">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row>
    <row r="196" spans="1:28">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row>
    <row r="197" spans="1:28">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row>
    <row r="198" spans="1:2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row>
    <row r="199" spans="1:28">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row>
    <row r="200" spans="1:28">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row>
    <row r="201" spans="1:28">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row>
    <row r="202" spans="1:28">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row>
    <row r="203" spans="1:28">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row>
    <row r="204" spans="1:28">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row>
    <row r="205" spans="1:28">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row>
    <row r="206" spans="1:28">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row>
    <row r="207" spans="1:28">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row>
    <row r="208" spans="1:2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row>
    <row r="209" spans="1:28">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row>
    <row r="210" spans="1:28">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row>
    <row r="211" spans="1:28">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row>
    <row r="212" spans="1:28">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row>
    <row r="213" spans="1:28">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row>
    <row r="214" spans="1:28">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row>
    <row r="215" spans="1:28">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row>
    <row r="216" spans="1:28">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row>
    <row r="217" spans="1:28">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row>
    <row r="218" spans="1:2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row>
    <row r="219" spans="1:28">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row>
    <row r="220" spans="1:28">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row>
    <row r="221" spans="1:28">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row>
    <row r="222" spans="1:28">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row>
    <row r="223" spans="1:28">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row>
    <row r="224" spans="1:28">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row>
    <row r="225" spans="1:28">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row>
    <row r="226" spans="1:28">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row>
    <row r="227" spans="1:28">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row>
    <row r="228" spans="1: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row>
    <row r="229" spans="1:28">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row>
    <row r="230" spans="1:28">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row>
    <row r="231" spans="1:28">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row>
    <row r="232" spans="1:28">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row>
    <row r="233" spans="1:28">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row>
    <row r="234" spans="1:28">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row>
    <row r="235" spans="1:28">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row>
    <row r="236" spans="1:28">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row>
    <row r="237" spans="1:28">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row>
    <row r="238" spans="1:2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row>
    <row r="239" spans="1:28">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row>
    <row r="240" spans="1:28">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row>
    <row r="241" spans="1:28">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row>
    <row r="242" spans="1:28">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row>
    <row r="243" spans="1:28">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row>
    <row r="244" spans="1:28">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row>
    <row r="245" spans="1:28">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row>
    <row r="246" spans="1:28">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row>
    <row r="247" spans="1:28">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row>
    <row r="248" spans="1:2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row>
    <row r="249" spans="1:28">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row>
    <row r="250" spans="1:28">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row>
    <row r="251" spans="1:28">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row>
    <row r="252" spans="1:28">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row>
    <row r="253" spans="1:28">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row>
    <row r="254" spans="1:28">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row>
    <row r="255" spans="1:28">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row>
    <row r="256" spans="1:28">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row>
    <row r="257" spans="1:28">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row>
    <row r="258" spans="1:2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row>
    <row r="259" spans="1:28">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row>
    <row r="260" spans="1:28">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row>
    <row r="261" spans="1:28">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row>
    <row r="262" spans="1:28">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row>
    <row r="263" spans="1:28">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row>
    <row r="264" spans="1:28">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row>
    <row r="265" spans="1:28">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row>
    <row r="266" spans="1:28">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row>
    <row r="267" spans="1:28">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row>
    <row r="268" spans="1:2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row>
    <row r="269" spans="1:28">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row>
    <row r="270" spans="1:28">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row>
    <row r="271" spans="1:28">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row>
    <row r="272" spans="1:28">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row>
    <row r="273" spans="1:28">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row>
    <row r="274" spans="1:28">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row>
    <row r="275" spans="1:28">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row>
    <row r="276" spans="1:28">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row>
    <row r="277" spans="1:28">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row>
    <row r="278" spans="1:2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row>
    <row r="279" spans="1:28">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row>
    <row r="280" spans="1:28">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row>
    <row r="281" spans="1:28">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row>
    <row r="282" spans="1:28">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row>
    <row r="283" spans="1:28">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row>
    <row r="284" spans="1:28">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row>
    <row r="285" spans="1:28">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row>
    <row r="286" spans="1:28">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row>
    <row r="287" spans="1:28">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row>
    <row r="288" spans="1:2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row>
    <row r="289" spans="1:28">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row>
    <row r="290" spans="1:28">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row>
    <row r="291" spans="1:28">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row>
    <row r="292" spans="1:28">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row>
    <row r="293" spans="1:28">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row>
    <row r="294" spans="1:28">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row>
    <row r="295" spans="1:28">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row>
    <row r="296" spans="1:28">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row>
    <row r="297" spans="1:28">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row>
    <row r="298" spans="1:2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row>
    <row r="299" spans="1:28">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row>
    <row r="300" spans="1:28">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row>
    <row r="301" spans="1:28">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row>
    <row r="302" spans="1:28">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row>
    <row r="303" spans="1:28">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row>
    <row r="304" spans="1:28">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row>
    <row r="305" spans="1:28">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row>
    <row r="306" spans="1:28">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row>
    <row r="307" spans="1:28">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row>
    <row r="308" spans="1:2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row>
    <row r="309" spans="1:28">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row>
    <row r="310" spans="1:28">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row>
    <row r="311" spans="1:28">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row>
    <row r="312" spans="1:28">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row>
    <row r="313" spans="1:28">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row>
    <row r="314" spans="1:28">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row>
    <row r="315" spans="1:28">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row>
    <row r="316" spans="1:28">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row>
    <row r="317" spans="1:28">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row>
    <row r="318" spans="1:2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row>
    <row r="319" spans="1:28">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row>
    <row r="320" spans="1:28">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row>
    <row r="321" spans="1:28">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row>
    <row r="322" spans="1:28">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row>
    <row r="323" spans="1:28">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row>
    <row r="324" spans="1:28">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row>
    <row r="325" spans="1:28">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row>
    <row r="326" spans="1:28">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row>
    <row r="327" spans="1:28">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row>
    <row r="328" spans="1: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row>
    <row r="329" spans="1:28">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row>
    <row r="330" spans="1:28">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row>
    <row r="331" spans="1:28">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row>
    <row r="332" spans="1:28">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row>
    <row r="333" spans="1:28">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row>
    <row r="334" spans="1:28">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row>
    <row r="335" spans="1:28">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row>
    <row r="336" spans="1:28">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row>
    <row r="337" spans="1:28">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row>
    <row r="338" spans="1:2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row>
    <row r="339" spans="1:28">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row>
    <row r="340" spans="1:28">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row>
    <row r="341" spans="1:28">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row>
    <row r="342" spans="1:28">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row>
    <row r="343" spans="1:28">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row>
    <row r="344" spans="1:28">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row>
    <row r="345" spans="1:28">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row>
    <row r="346" spans="1:28">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row>
    <row r="347" spans="1:28">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row>
    <row r="348" spans="1:2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row>
    <row r="349" spans="1:28">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row>
    <row r="350" spans="1:28">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row>
    <row r="351" spans="1:28">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row>
    <row r="352" spans="1:28">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row>
    <row r="353" spans="1:28">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row>
    <row r="354" spans="1:28">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row>
    <row r="355" spans="1:28">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row>
    <row r="356" spans="1:28">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row>
    <row r="357" spans="1:28">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row>
    <row r="358" spans="1:2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row>
    <row r="359" spans="1:28">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row>
    <row r="360" spans="1:28">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row>
    <row r="361" spans="1:28">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row>
    <row r="362" spans="1:28">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row>
    <row r="363" spans="1:28">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row>
    <row r="364" spans="1:28">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row>
    <row r="365" spans="1:28">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row>
    <row r="366" spans="1:28">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row>
    <row r="367" spans="1:28">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row>
    <row r="368" spans="1:2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row>
    <row r="369" spans="1:28">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row>
    <row r="370" spans="1:28">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row>
    <row r="371" spans="1:28">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row>
    <row r="372" spans="1:28">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row>
    <row r="373" spans="1:28">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row>
    <row r="374" spans="1:28">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row>
    <row r="375" spans="1:28">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row>
    <row r="376" spans="1:28">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row>
    <row r="377" spans="1:28">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row>
    <row r="378" spans="1:2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row>
    <row r="379" spans="1:28">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row>
    <row r="380" spans="1:28">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row>
    <row r="381" spans="1:28">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row>
    <row r="382" spans="1:28">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row>
    <row r="383" spans="1:28">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row>
    <row r="384" spans="1:28">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row>
    <row r="385" spans="1:28">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row>
    <row r="386" spans="1:28">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row>
    <row r="387" spans="1:28">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row>
    <row r="388" spans="1:2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row>
    <row r="389" spans="1:28">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row>
    <row r="390" spans="1:28">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row>
    <row r="391" spans="1:28">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row>
    <row r="392" spans="1:28">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row>
    <row r="393" spans="1:28">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row>
    <row r="394" spans="1:28">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row>
    <row r="395" spans="1:28">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row>
    <row r="396" spans="1:28">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row>
    <row r="397" spans="1:28">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row>
    <row r="398" spans="1:2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row>
    <row r="399" spans="1:28">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row>
    <row r="400" spans="1:28">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row>
    <row r="401" spans="1:28">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row>
    <row r="402" spans="1:28">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row>
    <row r="403" spans="1:28">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row>
    <row r="404" spans="1:28">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row>
    <row r="405" spans="1:28">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row>
    <row r="406" spans="1:28">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row>
    <row r="407" spans="1:28">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row>
    <row r="408" spans="1:2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row>
    <row r="409" spans="1:28">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row>
    <row r="410" spans="1:28">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row>
    <row r="411" spans="1:28">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row>
    <row r="412" spans="1:28">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row>
    <row r="413" spans="1:28">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row>
    <row r="414" spans="1:28">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row>
    <row r="415" spans="1:28">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row>
    <row r="416" spans="1:28">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row>
    <row r="417" spans="1:28">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row>
    <row r="418" spans="1:2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row>
    <row r="419" spans="1:28">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row>
    <row r="420" spans="1:28">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row>
    <row r="421" spans="1:28">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row>
    <row r="422" spans="1:28">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row>
    <row r="423" spans="1:28">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row>
    <row r="424" spans="1:28">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row>
    <row r="425" spans="1:28">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row>
    <row r="426" spans="1:28">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row>
    <row r="427" spans="1:28">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row>
    <row r="428" spans="1: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row>
    <row r="429" spans="1:28">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row>
    <row r="430" spans="1:28">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row>
    <row r="431" spans="1:28">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row>
    <row r="432" spans="1:28">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row>
    <row r="433" spans="1:28">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row>
    <row r="434" spans="1:28">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row>
    <row r="435" spans="1:28">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row>
    <row r="436" spans="1:28">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row>
    <row r="437" spans="1:28">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row>
    <row r="438" spans="1:2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row>
    <row r="439" spans="1:28">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row>
    <row r="440" spans="1:28">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row>
    <row r="441" spans="1:28">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row>
    <row r="442" spans="1:28">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row>
    <row r="443" spans="1:28">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row>
    <row r="444" spans="1:28">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row>
    <row r="445" spans="1:28">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row>
    <row r="446" spans="1:28">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row>
    <row r="447" spans="1:28">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row>
    <row r="448" spans="1:2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row>
    <row r="449" spans="1:28">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row>
    <row r="450" spans="1:28">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row>
    <row r="451" spans="1:28">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row>
    <row r="452" spans="1:28">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row>
    <row r="453" spans="1:28">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row>
    <row r="454" spans="1:28">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row>
    <row r="455" spans="1:28">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row>
    <row r="456" spans="1:28">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row>
    <row r="457" spans="1:28">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row>
    <row r="458" spans="1:2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row>
    <row r="459" spans="1:28">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row>
    <row r="460" spans="1:28">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row>
    <row r="461" spans="1:28">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row>
    <row r="462" spans="1:28">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row>
    <row r="463" spans="1:28">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row>
    <row r="464" spans="1:28">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row>
    <row r="465" spans="1:28">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row>
    <row r="466" spans="1:28">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row>
    <row r="467" spans="1:28">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row>
    <row r="468" spans="1:2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row>
    <row r="469" spans="1:28">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row>
    <row r="470" spans="1:28">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row>
    <row r="471" spans="1:28">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row>
    <row r="472" spans="1:28">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row>
    <row r="473" spans="1:28">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row>
    <row r="474" spans="1:28">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row>
    <row r="475" spans="1:28">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row>
    <row r="476" spans="1:28">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row>
    <row r="477" spans="1:28">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row>
    <row r="478" spans="1:2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row>
    <row r="479" spans="1:28">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row>
    <row r="480" spans="1:28">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row>
    <row r="481" spans="1:28">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row>
    <row r="482" spans="1:28">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row>
    <row r="483" spans="1:28">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row>
    <row r="484" spans="1:28">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row>
    <row r="485" spans="1:28">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row>
    <row r="486" spans="1:28">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row>
    <row r="487" spans="1:28">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row>
    <row r="488" spans="1:2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row>
    <row r="489" spans="1:28">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row>
    <row r="490" spans="1:28">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row>
    <row r="491" spans="1:28">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row>
    <row r="492" spans="1:28">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row>
    <row r="493" spans="1:28">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row>
    <row r="494" spans="1:28">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row>
    <row r="495" spans="1:28">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row>
    <row r="496" spans="1:28">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row>
    <row r="497" spans="1:28">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row>
    <row r="498" spans="1:2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row>
    <row r="499" spans="1:28">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row>
    <row r="500" spans="1:28">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row>
    <row r="501" spans="1:28">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row>
    <row r="502" spans="1:28">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row>
    <row r="503" spans="1:28">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row>
    <row r="504" spans="1:28">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row>
    <row r="505" spans="1:28">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row>
    <row r="506" spans="1:28">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row>
    <row r="507" spans="1:28">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row>
    <row r="508" spans="1:2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row>
    <row r="509" spans="1:28">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row>
    <row r="510" spans="1:28">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row>
    <row r="511" spans="1:28">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row>
    <row r="512" spans="1:28">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row>
    <row r="513" spans="1:28">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row>
    <row r="514" spans="1:28">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row>
    <row r="515" spans="1:28">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row>
    <row r="516" spans="1:28">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row>
    <row r="517" spans="1:28">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row>
    <row r="518" spans="1:2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row>
    <row r="519" spans="1:28">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row>
    <row r="520" spans="1:28">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row>
    <row r="521" spans="1:28">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row>
    <row r="522" spans="1:28">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row>
    <row r="523" spans="1:28">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row>
    <row r="524" spans="1:28">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row>
    <row r="525" spans="1:28">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row>
    <row r="526" spans="1:28">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row>
    <row r="527" spans="1:28">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row>
    <row r="528" spans="1: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row>
    <row r="529" spans="1:28">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row>
    <row r="530" spans="1:28">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row>
    <row r="531" spans="1:28">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row>
    <row r="532" spans="1:28">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row>
    <row r="533" spans="1:28">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row>
    <row r="534" spans="1:28">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row>
    <row r="535" spans="1:28">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row>
    <row r="536" spans="1:28">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row>
    <row r="537" spans="1:28">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row>
    <row r="538" spans="1:2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row>
    <row r="539" spans="1:28">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row>
    <row r="540" spans="1:28">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row>
    <row r="541" spans="1:28">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row>
    <row r="542" spans="1:28">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row>
    <row r="543" spans="1:28">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row>
    <row r="544" spans="1:28">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row>
    <row r="545" spans="1:28">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row>
    <row r="546" spans="1:28">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row>
    <row r="547" spans="1:28">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row>
    <row r="548" spans="1:2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row>
    <row r="549" spans="1:28">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row>
    <row r="550" spans="1:28">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row>
    <row r="551" spans="1:28">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row>
    <row r="552" spans="1:28">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row>
    <row r="553" spans="1:28">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row>
    <row r="554" spans="1:28">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row>
    <row r="555" spans="1:28">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row>
    <row r="556" spans="1:28">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row>
    <row r="557" spans="1:28">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row>
    <row r="558" spans="1:2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row>
    <row r="559" spans="1:28">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row>
    <row r="560" spans="1:28">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row>
    <row r="561" spans="1:28">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row>
    <row r="562" spans="1:28">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row>
    <row r="563" spans="1:28">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row>
    <row r="564" spans="1:28">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row>
    <row r="565" spans="1:28">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row>
    <row r="566" spans="1:28">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row>
    <row r="567" spans="1:28">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row>
    <row r="568" spans="1:2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row>
    <row r="569" spans="1:28">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row>
    <row r="570" spans="1:28">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row>
    <row r="571" spans="1:28">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row>
    <row r="572" spans="1:28">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row>
    <row r="573" spans="1:28">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row>
    <row r="574" spans="1:28">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row>
    <row r="575" spans="1:28">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row>
    <row r="576" spans="1:28">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row>
    <row r="577" spans="1:28">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row>
    <row r="578" spans="1:2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row>
    <row r="579" spans="1:28">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row>
    <row r="580" spans="1:28">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row>
    <row r="581" spans="1:28">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row>
    <row r="582" spans="1:28">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row>
    <row r="583" spans="1:28">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row>
    <row r="584" spans="1:28">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row>
    <row r="585" spans="1:28">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row>
    <row r="586" spans="1:28">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row>
    <row r="587" spans="1:28">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row>
    <row r="588" spans="1:2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row>
    <row r="589" spans="1:28">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row>
    <row r="590" spans="1:28">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row>
    <row r="591" spans="1:28">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row>
    <row r="592" spans="1:28">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row>
    <row r="593" spans="1:28">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row>
    <row r="594" spans="1:28">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row>
    <row r="595" spans="1:28">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row>
    <row r="596" spans="1:28">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row>
    <row r="597" spans="1:28">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row>
    <row r="598" spans="1:2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row>
    <row r="599" spans="1:28">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row>
    <row r="600" spans="1:28">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row>
    <row r="601" spans="1:28">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row>
    <row r="602" spans="1:28">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row>
    <row r="603" spans="1:28">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row>
    <row r="604" spans="1:28">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row>
    <row r="605" spans="1:28">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row>
    <row r="606" spans="1:28">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row>
    <row r="607" spans="1:28">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row>
    <row r="608" spans="1:2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row>
    <row r="609" spans="1:28">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row>
    <row r="610" spans="1:28">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row>
    <row r="611" spans="1:28">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row>
    <row r="612" spans="1:28">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row>
    <row r="613" spans="1:28">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row>
    <row r="614" spans="1:28">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row>
    <row r="615" spans="1:28">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row>
    <row r="616" spans="1:28">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row>
    <row r="617" spans="1:28">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row>
    <row r="618" spans="1:2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row>
    <row r="619" spans="1:28">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row>
    <row r="620" spans="1:28">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row>
    <row r="621" spans="1:28">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row>
    <row r="622" spans="1:28">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row>
    <row r="623" spans="1:28">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row>
    <row r="624" spans="1:28">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row>
    <row r="625" spans="1:28">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row>
    <row r="626" spans="1:28">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row>
    <row r="627" spans="1:28">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row>
    <row r="628" spans="1: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row>
    <row r="629" spans="1:28">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row>
    <row r="630" spans="1:28">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row>
    <row r="631" spans="1:28">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row>
    <row r="632" spans="1:28">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row>
    <row r="633" spans="1:28">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row>
    <row r="634" spans="1:28">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row>
    <row r="635" spans="1:28">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row>
    <row r="636" spans="1:28">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row>
    <row r="637" spans="1:28">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row>
    <row r="638" spans="1:2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row>
    <row r="639" spans="1:28">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row>
    <row r="640" spans="1:28">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row>
    <row r="641" spans="1:28">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row>
    <row r="642" spans="1:28">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row>
    <row r="643" spans="1:28">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row>
    <row r="644" spans="1:28">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row>
    <row r="645" spans="1:28">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row>
    <row r="646" spans="1:28">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row>
    <row r="647" spans="1:28">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row>
    <row r="648" spans="1:2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row>
    <row r="649" spans="1:28">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row>
    <row r="650" spans="1:28">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row>
    <row r="651" spans="1:28">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row>
    <row r="652" spans="1:28">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row>
    <row r="653" spans="1:28">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row>
    <row r="654" spans="1:28">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row>
    <row r="655" spans="1:28">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row>
    <row r="656" spans="1:28">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row>
    <row r="657" spans="1:28">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row>
    <row r="658" spans="1:2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row>
    <row r="659" spans="1:28">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row>
    <row r="660" spans="1:28">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row>
    <row r="661" spans="1:28">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row>
    <row r="662" spans="1:28">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row>
    <row r="663" spans="1:28">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row>
    <row r="664" spans="1:28">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row>
    <row r="665" spans="1:28">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row>
    <row r="666" spans="1:28">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row>
    <row r="667" spans="1:28">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row>
    <row r="668" spans="1:2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row>
    <row r="669" spans="1:28">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row>
    <row r="670" spans="1:28">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row>
    <row r="671" spans="1:28">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row>
    <row r="672" spans="1:28">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row>
    <row r="673" spans="1:28">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row>
    <row r="674" spans="1:28">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row>
    <row r="675" spans="1:28">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row>
    <row r="676" spans="1:28">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row>
    <row r="677" spans="1:28">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row>
    <row r="678" spans="1:2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row>
    <row r="679" spans="1:28">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row>
    <row r="680" spans="1:28">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row>
    <row r="681" spans="1:28">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row>
    <row r="682" spans="1:28">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row>
    <row r="683" spans="1:28">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row>
    <row r="684" spans="1:28">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row>
    <row r="685" spans="1:28">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row>
    <row r="686" spans="1:28">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row>
    <row r="687" spans="1:28">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row>
    <row r="688" spans="1:2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row>
    <row r="689" spans="1:28">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row>
    <row r="690" spans="1:28">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row>
    <row r="691" spans="1:28">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row>
    <row r="692" spans="1:28">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row>
    <row r="693" spans="1:28">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row>
    <row r="694" spans="1:28">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row>
    <row r="695" spans="1:28">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row>
    <row r="696" spans="1:28">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row>
    <row r="697" spans="1:28">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row>
    <row r="698" spans="1:2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row>
    <row r="699" spans="1:28">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row>
    <row r="700" spans="1:28">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row>
    <row r="701" spans="1:28">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row>
    <row r="702" spans="1:28">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row>
    <row r="703" spans="1:28">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row>
    <row r="704" spans="1:28">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row>
    <row r="705" spans="1:28">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row>
    <row r="706" spans="1:28">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row>
    <row r="707" spans="1:28">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row>
    <row r="708" spans="1:2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row>
    <row r="709" spans="1:28">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row>
    <row r="710" spans="1:28">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row>
    <row r="711" spans="1:28">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row>
    <row r="712" spans="1:28">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row>
    <row r="713" spans="1:28">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row>
    <row r="714" spans="1:28">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row>
    <row r="715" spans="1:28">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row>
    <row r="716" spans="1:28">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row>
    <row r="717" spans="1:28">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row>
    <row r="718" spans="1:2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row>
    <row r="719" spans="1:28">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row>
    <row r="720" spans="1:28">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row>
    <row r="721" spans="1:28">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row>
    <row r="722" spans="1:28">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row>
    <row r="723" spans="1:28">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row>
    <row r="724" spans="1:28">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row>
    <row r="725" spans="1:28">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row>
    <row r="726" spans="1:28">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row>
    <row r="727" spans="1:28">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row>
    <row r="728" spans="1: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row>
    <row r="729" spans="1:28">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row>
    <row r="730" spans="1:28">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row>
    <row r="731" spans="1:28">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row>
    <row r="732" spans="1:28">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row>
    <row r="733" spans="1:28">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row>
    <row r="734" spans="1:28">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row>
    <row r="735" spans="1:28">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row>
    <row r="736" spans="1:28">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row>
    <row r="737" spans="1:28">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row>
    <row r="738" spans="1:2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row>
    <row r="739" spans="1:28">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row>
    <row r="740" spans="1:28">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row>
    <row r="741" spans="1:28">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row>
    <row r="742" spans="1:28">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row>
    <row r="743" spans="1:28">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row>
    <row r="744" spans="1:28">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row>
    <row r="745" spans="1:28">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row>
    <row r="746" spans="1:28">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row>
    <row r="747" spans="1:28">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row>
    <row r="748" spans="1:2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row>
    <row r="749" spans="1:28">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row>
    <row r="750" spans="1:28">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row>
    <row r="751" spans="1:28">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row>
    <row r="752" spans="1:28">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row>
    <row r="753" spans="1:28">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row>
    <row r="754" spans="1:28">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row>
    <row r="755" spans="1:28">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row>
    <row r="756" spans="1:28">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row>
    <row r="757" spans="1:28">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row>
    <row r="758" spans="1:2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row>
    <row r="759" spans="1:28">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row>
    <row r="760" spans="1:28">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row>
    <row r="761" spans="1:28">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row>
    <row r="762" spans="1:28">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row>
    <row r="763" spans="1:28">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row>
    <row r="764" spans="1:28">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row>
    <row r="765" spans="1:28">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row>
    <row r="766" spans="1:28">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row>
    <row r="767" spans="1:28">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row>
    <row r="768" spans="1:2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row>
    <row r="769" spans="1:28">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row>
    <row r="770" spans="1:28">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row>
    <row r="771" spans="1:28">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row>
    <row r="772" spans="1:28">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row>
    <row r="773" spans="1:28">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row>
    <row r="774" spans="1:28">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row>
    <row r="775" spans="1:28">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row>
    <row r="776" spans="1:28">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row>
    <row r="777" spans="1:28">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row>
    <row r="778" spans="1:2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row>
    <row r="779" spans="1:28">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row>
    <row r="780" spans="1:28">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row>
    <row r="781" spans="1:28">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row>
    <row r="782" spans="1:28">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row>
    <row r="783" spans="1:28">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row>
    <row r="784" spans="1:28">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row>
    <row r="785" spans="1:28">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row>
    <row r="786" spans="1:28">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row>
    <row r="787" spans="1:28">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row>
    <row r="788" spans="1:2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row>
    <row r="789" spans="1:28">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row>
    <row r="790" spans="1:28">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row>
    <row r="791" spans="1:28">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row>
    <row r="792" spans="1:28">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row>
    <row r="793" spans="1:28">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row>
    <row r="794" spans="1:28">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row>
    <row r="795" spans="1:28">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row>
    <row r="796" spans="1:28">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row>
    <row r="797" spans="1:28">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row>
    <row r="798" spans="1:2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row>
    <row r="799" spans="1:28">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row>
    <row r="800" spans="1:28">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row>
    <row r="801" spans="1:28">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row>
    <row r="802" spans="1:28">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row>
    <row r="803" spans="1:28">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row>
    <row r="804" spans="1:28">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row>
    <row r="805" spans="1:28">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row>
    <row r="806" spans="1:28">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row>
    <row r="807" spans="1:28">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row>
    <row r="808" spans="1:2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row>
    <row r="809" spans="1:28">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row>
    <row r="810" spans="1:28">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row>
    <row r="811" spans="1:28">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row>
    <row r="812" spans="1:28">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row>
    <row r="813" spans="1:28">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row>
    <row r="814" spans="1:28">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row>
    <row r="815" spans="1:28">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row>
    <row r="816" spans="1:28">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row>
    <row r="817" spans="1:28">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row>
    <row r="818" spans="1:2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row>
    <row r="819" spans="1:28">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row>
    <row r="820" spans="1:28">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row>
    <row r="821" spans="1:28">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row>
    <row r="822" spans="1:28">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row>
    <row r="823" spans="1:28">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row>
    <row r="824" spans="1:28">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row>
    <row r="825" spans="1:28">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row>
    <row r="826" spans="1:28">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row>
    <row r="827" spans="1:28">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row>
    <row r="828" spans="1: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row>
    <row r="829" spans="1:28">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row>
    <row r="830" spans="1:28">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row>
    <row r="831" spans="1:28">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row>
    <row r="832" spans="1:28">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row>
    <row r="833" spans="1:28">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row>
    <row r="834" spans="1:28">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row>
    <row r="835" spans="1:28">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row>
    <row r="836" spans="1:28">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row>
    <row r="837" spans="1:28">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row>
    <row r="838" spans="1:2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row>
    <row r="839" spans="1:28">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row>
    <row r="840" spans="1:28">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row>
    <row r="841" spans="1:28">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row>
    <row r="842" spans="1:28">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row>
    <row r="843" spans="1:28">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row>
    <row r="844" spans="1:28">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row>
    <row r="845" spans="1:28">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row>
    <row r="846" spans="1:28">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row>
    <row r="847" spans="1:28">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row>
    <row r="848" spans="1:2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row>
    <row r="849" spans="1:28">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row>
    <row r="850" spans="1:28">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row>
    <row r="851" spans="1:28">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row>
    <row r="852" spans="1:28">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row>
    <row r="853" spans="1:28">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row>
    <row r="854" spans="1:28">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row>
    <row r="855" spans="1:28">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row>
    <row r="856" spans="1:28">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row>
    <row r="857" spans="1:28">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row>
    <row r="858" spans="1:2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row>
    <row r="859" spans="1:28">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row>
    <row r="860" spans="1:28">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row>
    <row r="861" spans="1:28">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row>
    <row r="862" spans="1:28">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row>
    <row r="863" spans="1:28">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row>
    <row r="864" spans="1:28">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row>
    <row r="865" spans="1:28">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row>
    <row r="866" spans="1:28">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row>
    <row r="867" spans="1:28">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row>
    <row r="868" spans="1:2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row>
    <row r="869" spans="1:28">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row>
    <row r="870" spans="1:28">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row>
    <row r="871" spans="1:28">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row>
    <row r="872" spans="1:28">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row>
    <row r="873" spans="1:28">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row>
    <row r="874" spans="1:28">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row>
    <row r="875" spans="1:28">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row>
    <row r="876" spans="1:28">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row>
    <row r="877" spans="1:28">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row>
    <row r="878" spans="1:2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row>
    <row r="879" spans="1:28">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row>
    <row r="880" spans="1:28">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row>
    <row r="881" spans="1:28">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row>
    <row r="882" spans="1:28">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row>
    <row r="883" spans="1:28">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row>
    <row r="884" spans="1:28">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row>
    <row r="885" spans="1:28">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row>
    <row r="886" spans="1:28">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row>
    <row r="887" spans="1:28">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row>
    <row r="888" spans="1:2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row>
    <row r="889" spans="1:28">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row>
    <row r="890" spans="1:28">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row>
    <row r="891" spans="1:28">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row>
    <row r="892" spans="1:28">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row>
    <row r="893" spans="1:28">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row>
    <row r="894" spans="1:28">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row>
    <row r="895" spans="1:28">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row>
    <row r="896" spans="1:28">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row>
    <row r="897" spans="1:28">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row>
    <row r="898" spans="1:2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row>
    <row r="899" spans="1:28">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row>
    <row r="900" spans="1:28">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row>
    <row r="901" spans="1:28">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row>
    <row r="902" spans="1:28">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row>
    <row r="903" spans="1:28">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row>
    <row r="904" spans="1:28">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row>
    <row r="905" spans="1:28">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row>
    <row r="906" spans="1:28">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row>
    <row r="907" spans="1:28">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row>
    <row r="908" spans="1:2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row>
    <row r="909" spans="1:28">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row>
    <row r="910" spans="1:28">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row>
    <row r="911" spans="1:28">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row>
    <row r="912" spans="1:28">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row>
    <row r="913" spans="1:28">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row>
    <row r="914" spans="1:28">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row>
    <row r="915" spans="1:28">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row>
    <row r="916" spans="1:28">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row>
    <row r="917" spans="1:28">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row>
    <row r="918" spans="1:2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row>
    <row r="919" spans="1:28">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row>
    <row r="920" spans="1:28">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row>
    <row r="921" spans="1:28">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row>
    <row r="922" spans="1:28">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row>
    <row r="923" spans="1:28">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row>
    <row r="924" spans="1:28">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row>
    <row r="925" spans="1:28">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row>
    <row r="926" spans="1:28">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row>
    <row r="927" spans="1:28">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row>
    <row r="928" spans="1: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row>
    <row r="929" spans="1:28">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row>
    <row r="930" spans="1:28">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row>
    <row r="931" spans="1:28">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row>
    <row r="932" spans="1:28">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row>
    <row r="933" spans="1:28">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row>
    <row r="934" spans="1:28">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row>
    <row r="935" spans="1:28">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row>
    <row r="936" spans="1:28">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row>
    <row r="937" spans="1:28">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row>
    <row r="938" spans="1:2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row>
    <row r="939" spans="1:28">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row>
    <row r="940" spans="1:28">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row>
    <row r="941" spans="1:28">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row>
    <row r="942" spans="1:28">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row>
    <row r="943" spans="1:28">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row>
    <row r="944" spans="1:28">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row>
    <row r="945" spans="1:28">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row>
    <row r="946" spans="1:28">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row>
    <row r="947" spans="1:28">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row>
    <row r="948" spans="1:2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row>
    <row r="949" spans="1:28">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row>
    <row r="950" spans="1:28">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row>
    <row r="951" spans="1:28">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row>
    <row r="952" spans="1:28">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row>
    <row r="953" spans="1:28">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row>
    <row r="954" spans="1:28">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row>
    <row r="955" spans="1:28">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row>
    <row r="956" spans="1:28">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row>
    <row r="957" spans="1:28">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row>
    <row r="958" spans="1:2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row>
    <row r="959" spans="1:28">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row>
    <row r="960" spans="1:28">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row>
    <row r="961" spans="1:28">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row>
    <row r="962" spans="1:28">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row>
    <row r="963" spans="1:28">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row>
    <row r="964" spans="1:28">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row>
    <row r="965" spans="1:28">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row>
    <row r="966" spans="1:28">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row>
    <row r="967" spans="1:28">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row>
    <row r="968" spans="1:2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row>
    <row r="969" spans="1:28">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row>
    <row r="970" spans="1:28">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row>
    <row r="971" spans="1:28">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row>
    <row r="972" spans="1:28">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row>
    <row r="973" spans="1:28">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row>
    <row r="974" spans="1:28">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row>
    <row r="975" spans="1:28">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row>
    <row r="976" spans="1:28">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row>
    <row r="977" spans="1:28">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row>
    <row r="978" spans="1:2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row>
    <row r="979" spans="1:28">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row>
    <row r="980" spans="1:28">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row>
    <row r="981" spans="1:28">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row>
    <row r="982" spans="1:28">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row>
    <row r="983" spans="1:28">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row>
    <row r="984" spans="1:28">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row>
    <row r="985" spans="1:28">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row>
    <row r="986" spans="1:28">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row>
    <row r="987" spans="1:28">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row>
    <row r="988" spans="1:2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row>
    <row r="989" spans="1:28">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row>
    <row r="990" spans="1:28">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row>
    <row r="991" spans="1:28">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row>
    <row r="992" spans="1:28">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row>
    <row r="993" spans="1:28">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row>
    <row r="994" spans="1:28">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row>
    <row r="995" spans="1:28">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row>
    <row r="996" spans="1:28">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row>
    <row r="997" spans="1:28">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row>
    <row r="998" spans="1:2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row>
  </sheetData>
  <mergeCells count="3">
    <mergeCell ref="J6:J7"/>
    <mergeCell ref="K6:L7"/>
    <mergeCell ref="A20:E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baseColWidth="10" defaultColWidth="12.6640625" defaultRowHeight="15" customHeight="1"/>
  <cols>
    <col min="1" max="1" width="22.6640625" customWidth="1"/>
  </cols>
  <sheetData>
    <row r="1" spans="1:26">
      <c r="A1" s="8"/>
      <c r="B1" s="8"/>
      <c r="C1" s="8"/>
      <c r="D1" s="26"/>
      <c r="E1" s="26"/>
      <c r="F1" s="26"/>
      <c r="G1" s="26"/>
      <c r="H1" s="26"/>
      <c r="I1" s="26"/>
      <c r="J1" s="26"/>
      <c r="K1" s="26"/>
      <c r="L1" s="26"/>
      <c r="M1" s="26"/>
      <c r="N1" s="26"/>
      <c r="O1" s="26"/>
      <c r="P1" s="26"/>
      <c r="Q1" s="26"/>
      <c r="R1" s="26"/>
      <c r="S1" s="26"/>
      <c r="T1" s="26"/>
      <c r="U1" s="26"/>
      <c r="V1" s="26"/>
      <c r="W1" s="26"/>
      <c r="X1" s="26"/>
      <c r="Y1" s="26"/>
      <c r="Z1" s="26"/>
    </row>
    <row r="2" spans="1:26">
      <c r="A2" s="113" t="s">
        <v>268</v>
      </c>
      <c r="B2" s="114"/>
      <c r="C2" s="8"/>
      <c r="D2" s="26"/>
      <c r="E2" s="26"/>
      <c r="F2" s="26"/>
      <c r="G2" s="26"/>
      <c r="H2" s="26"/>
      <c r="I2" s="26"/>
      <c r="J2" s="26"/>
      <c r="K2" s="26"/>
      <c r="L2" s="26"/>
      <c r="M2" s="26"/>
      <c r="N2" s="26"/>
      <c r="O2" s="26"/>
      <c r="P2" s="26"/>
      <c r="Q2" s="26"/>
      <c r="R2" s="26"/>
      <c r="S2" s="26"/>
      <c r="T2" s="26"/>
      <c r="U2" s="26"/>
      <c r="V2" s="26"/>
      <c r="W2" s="26"/>
      <c r="X2" s="26"/>
      <c r="Y2" s="26"/>
      <c r="Z2" s="26"/>
    </row>
    <row r="3" spans="1:26">
      <c r="A3" s="115" t="s">
        <v>269</v>
      </c>
      <c r="B3" s="116">
        <v>23.64</v>
      </c>
      <c r="C3" s="8"/>
      <c r="D3" s="26"/>
      <c r="E3" s="26"/>
      <c r="F3" s="26"/>
      <c r="G3" s="26"/>
      <c r="H3" s="26"/>
      <c r="I3" s="26"/>
      <c r="J3" s="26"/>
      <c r="K3" s="26"/>
      <c r="L3" s="26"/>
      <c r="M3" s="26"/>
      <c r="N3" s="26"/>
      <c r="O3" s="26"/>
      <c r="P3" s="26"/>
      <c r="Q3" s="26"/>
      <c r="R3" s="26"/>
      <c r="S3" s="26"/>
      <c r="T3" s="26"/>
      <c r="U3" s="26"/>
      <c r="V3" s="26"/>
      <c r="W3" s="26"/>
      <c r="X3" s="26"/>
      <c r="Y3" s="26"/>
      <c r="Z3" s="26"/>
    </row>
    <row r="4" spans="1:26">
      <c r="A4" s="117" t="s">
        <v>270</v>
      </c>
      <c r="B4" s="118">
        <v>138.5</v>
      </c>
      <c r="C4" s="8"/>
      <c r="D4" s="26"/>
      <c r="E4" s="26"/>
      <c r="F4" s="26"/>
      <c r="G4" s="26"/>
      <c r="H4" s="26"/>
      <c r="I4" s="26"/>
      <c r="J4" s="26"/>
      <c r="K4" s="26"/>
      <c r="L4" s="26"/>
      <c r="M4" s="26"/>
      <c r="N4" s="26"/>
      <c r="O4" s="26"/>
      <c r="P4" s="26"/>
      <c r="Q4" s="26"/>
      <c r="R4" s="26"/>
      <c r="S4" s="26"/>
      <c r="T4" s="26"/>
      <c r="U4" s="26"/>
      <c r="V4" s="26"/>
      <c r="W4" s="26"/>
      <c r="X4" s="26"/>
      <c r="Y4" s="26"/>
      <c r="Z4" s="26"/>
    </row>
    <row r="5" spans="1:26">
      <c r="A5" s="119" t="s">
        <v>271</v>
      </c>
      <c r="B5" s="120">
        <f>B3*B4</f>
        <v>3274.14</v>
      </c>
      <c r="C5" s="8"/>
      <c r="D5" s="26"/>
      <c r="E5" s="26"/>
      <c r="F5" s="26"/>
      <c r="G5" s="26"/>
      <c r="H5" s="26"/>
      <c r="I5" s="26"/>
      <c r="J5" s="26"/>
      <c r="K5" s="26"/>
      <c r="L5" s="26"/>
      <c r="M5" s="26"/>
      <c r="N5" s="26"/>
      <c r="O5" s="26"/>
      <c r="P5" s="26"/>
      <c r="Q5" s="26"/>
      <c r="R5" s="26"/>
      <c r="S5" s="26"/>
      <c r="T5" s="26"/>
      <c r="U5" s="26"/>
      <c r="V5" s="26"/>
      <c r="W5" s="26"/>
      <c r="X5" s="26"/>
      <c r="Y5" s="26"/>
      <c r="Z5" s="26"/>
    </row>
    <row r="6" spans="1:26">
      <c r="A6" s="8" t="s">
        <v>126</v>
      </c>
      <c r="B6" s="121">
        <v>312</v>
      </c>
      <c r="C6" s="8"/>
      <c r="D6" s="26"/>
      <c r="E6" s="26"/>
      <c r="F6" s="26"/>
      <c r="G6" s="26"/>
      <c r="H6" s="26"/>
      <c r="I6" s="26"/>
      <c r="J6" s="26"/>
      <c r="K6" s="26"/>
      <c r="L6" s="26"/>
      <c r="M6" s="26"/>
      <c r="N6" s="26"/>
      <c r="O6" s="26"/>
      <c r="P6" s="26"/>
      <c r="Q6" s="26"/>
      <c r="R6" s="26"/>
      <c r="S6" s="26"/>
      <c r="T6" s="26"/>
      <c r="U6" s="26"/>
      <c r="V6" s="26"/>
      <c r="W6" s="26"/>
      <c r="X6" s="26"/>
      <c r="Y6" s="26"/>
      <c r="Z6" s="26"/>
    </row>
    <row r="7" spans="1:26">
      <c r="A7" s="117" t="s">
        <v>272</v>
      </c>
      <c r="B7" s="122">
        <v>2450</v>
      </c>
      <c r="C7" s="8"/>
      <c r="D7" s="123"/>
      <c r="E7" s="26"/>
      <c r="F7" s="26"/>
      <c r="G7" s="26"/>
      <c r="H7" s="26"/>
      <c r="I7" s="26"/>
      <c r="J7" s="26"/>
      <c r="K7" s="26"/>
      <c r="L7" s="26"/>
      <c r="M7" s="26"/>
      <c r="N7" s="26"/>
      <c r="O7" s="26"/>
      <c r="P7" s="26"/>
      <c r="Q7" s="26"/>
      <c r="R7" s="26"/>
      <c r="S7" s="26"/>
      <c r="T7" s="26"/>
      <c r="U7" s="26"/>
      <c r="V7" s="26"/>
      <c r="W7" s="26"/>
      <c r="X7" s="26"/>
      <c r="Y7" s="26"/>
      <c r="Z7" s="26"/>
    </row>
    <row r="8" spans="1:26">
      <c r="A8" s="119" t="s">
        <v>273</v>
      </c>
      <c r="B8" s="120">
        <f>B5-B6+B7</f>
        <v>5412.1399999999994</v>
      </c>
      <c r="C8" s="8"/>
      <c r="D8" s="26"/>
      <c r="E8" s="26"/>
      <c r="F8" s="26"/>
      <c r="G8" s="26"/>
      <c r="H8" s="26"/>
      <c r="I8" s="26"/>
      <c r="J8" s="26"/>
      <c r="K8" s="26"/>
      <c r="L8" s="26"/>
      <c r="M8" s="26"/>
      <c r="N8" s="26"/>
      <c r="O8" s="26"/>
      <c r="P8" s="26"/>
      <c r="Q8" s="26"/>
      <c r="R8" s="26"/>
      <c r="S8" s="26"/>
      <c r="T8" s="26"/>
      <c r="U8" s="26"/>
      <c r="V8" s="26"/>
      <c r="W8" s="26"/>
      <c r="X8" s="26"/>
      <c r="Y8" s="26"/>
      <c r="Z8" s="26"/>
    </row>
    <row r="9" spans="1:26">
      <c r="A9" s="119" t="s">
        <v>274</v>
      </c>
      <c r="B9" s="124">
        <v>532.70000000000005</v>
      </c>
      <c r="C9" s="8"/>
      <c r="D9" s="26"/>
      <c r="E9" s="26"/>
      <c r="F9" s="26"/>
      <c r="G9" s="26"/>
      <c r="H9" s="26"/>
      <c r="I9" s="26"/>
      <c r="J9" s="26"/>
      <c r="K9" s="26"/>
      <c r="L9" s="26"/>
      <c r="M9" s="26"/>
      <c r="N9" s="26"/>
      <c r="O9" s="26"/>
      <c r="P9" s="26"/>
      <c r="Q9" s="26"/>
      <c r="R9" s="26"/>
      <c r="S9" s="26"/>
      <c r="T9" s="26"/>
      <c r="U9" s="26"/>
      <c r="V9" s="26"/>
      <c r="W9" s="26"/>
      <c r="X9" s="26"/>
      <c r="Y9" s="26"/>
      <c r="Z9" s="26"/>
    </row>
    <row r="10" spans="1:26">
      <c r="A10" s="8" t="s">
        <v>275</v>
      </c>
      <c r="B10" s="125">
        <f>B8/B9</f>
        <v>10.159827294912708</v>
      </c>
      <c r="C10" s="8"/>
      <c r="D10" s="26"/>
      <c r="E10" s="26"/>
      <c r="F10" s="26"/>
      <c r="G10" s="26"/>
      <c r="H10" s="26"/>
      <c r="I10" s="26"/>
      <c r="J10" s="26"/>
      <c r="K10" s="26"/>
      <c r="L10" s="26"/>
      <c r="M10" s="26"/>
      <c r="N10" s="26"/>
      <c r="O10" s="26"/>
      <c r="P10" s="26"/>
      <c r="Q10" s="26"/>
      <c r="R10" s="26"/>
      <c r="S10" s="26"/>
      <c r="T10" s="26"/>
      <c r="U10" s="26"/>
      <c r="V10" s="26"/>
      <c r="W10" s="26"/>
      <c r="X10" s="26"/>
      <c r="Y10" s="26"/>
      <c r="Z10" s="26"/>
    </row>
    <row r="11" spans="1:26">
      <c r="A11" s="8"/>
      <c r="B11" s="126"/>
      <c r="C11" s="8"/>
      <c r="D11" s="26"/>
      <c r="E11" s="26"/>
      <c r="F11" s="26"/>
      <c r="G11" s="26"/>
      <c r="H11" s="26"/>
      <c r="I11" s="26"/>
      <c r="J11" s="26"/>
      <c r="K11" s="26"/>
      <c r="L11" s="26"/>
      <c r="M11" s="26"/>
      <c r="N11" s="26"/>
      <c r="O11" s="26"/>
      <c r="P11" s="26"/>
      <c r="Q11" s="26"/>
      <c r="R11" s="26"/>
      <c r="S11" s="26"/>
      <c r="T11" s="26"/>
      <c r="U11" s="26"/>
      <c r="V11" s="26"/>
      <c r="W11" s="26"/>
      <c r="X11" s="26"/>
      <c r="Y11" s="26"/>
      <c r="Z11" s="26"/>
    </row>
    <row r="12" spans="1:26">
      <c r="A12" s="119" t="s">
        <v>276</v>
      </c>
      <c r="B12" s="126"/>
      <c r="C12" s="8"/>
      <c r="D12" s="26"/>
      <c r="E12" s="26"/>
      <c r="F12" s="26"/>
      <c r="G12" s="26"/>
      <c r="H12" s="26"/>
      <c r="I12" s="26"/>
      <c r="J12" s="26"/>
      <c r="K12" s="26"/>
      <c r="L12" s="26"/>
      <c r="M12" s="26"/>
      <c r="N12" s="26"/>
      <c r="O12" s="26"/>
      <c r="P12" s="26"/>
      <c r="Q12" s="26"/>
      <c r="R12" s="26"/>
      <c r="S12" s="26"/>
      <c r="T12" s="26"/>
      <c r="U12" s="26"/>
      <c r="V12" s="26"/>
      <c r="W12" s="26"/>
      <c r="X12" s="26"/>
      <c r="Y12" s="26"/>
      <c r="Z12" s="26"/>
    </row>
    <row r="13" spans="1:26">
      <c r="A13" s="8" t="s">
        <v>277</v>
      </c>
      <c r="B13" s="124">
        <v>734.2</v>
      </c>
      <c r="C13" s="8"/>
      <c r="D13" s="26"/>
      <c r="E13" s="26"/>
      <c r="F13" s="26"/>
      <c r="G13" s="26"/>
      <c r="H13" s="26"/>
      <c r="I13" s="26"/>
      <c r="J13" s="26"/>
      <c r="K13" s="26"/>
      <c r="L13" s="26"/>
      <c r="M13" s="26"/>
      <c r="N13" s="26"/>
      <c r="O13" s="26"/>
      <c r="P13" s="26"/>
      <c r="Q13" s="26"/>
      <c r="R13" s="26"/>
      <c r="S13" s="26"/>
      <c r="T13" s="26"/>
      <c r="U13" s="26"/>
      <c r="V13" s="26"/>
      <c r="W13" s="26"/>
      <c r="X13" s="26"/>
      <c r="Y13" s="26"/>
      <c r="Z13" s="26"/>
    </row>
    <row r="14" spans="1:26">
      <c r="A14" s="117" t="s">
        <v>278</v>
      </c>
      <c r="B14" s="127">
        <v>9</v>
      </c>
      <c r="C14" s="8"/>
      <c r="D14" s="26"/>
      <c r="E14" s="26"/>
      <c r="F14" s="26"/>
      <c r="G14" s="26"/>
      <c r="H14" s="26"/>
      <c r="I14" s="26"/>
      <c r="J14" s="26"/>
      <c r="K14" s="26"/>
      <c r="L14" s="26"/>
      <c r="M14" s="26"/>
      <c r="N14" s="26"/>
      <c r="O14" s="26"/>
      <c r="P14" s="26"/>
      <c r="Q14" s="26"/>
      <c r="R14" s="26"/>
      <c r="S14" s="26"/>
      <c r="T14" s="26"/>
      <c r="U14" s="26"/>
      <c r="V14" s="26"/>
      <c r="W14" s="26"/>
      <c r="X14" s="26"/>
      <c r="Y14" s="26"/>
      <c r="Z14" s="26"/>
    </row>
    <row r="15" spans="1:26">
      <c r="A15" s="8" t="s">
        <v>225</v>
      </c>
      <c r="B15" s="120">
        <f>B13*B14</f>
        <v>6607.8</v>
      </c>
      <c r="C15" s="8"/>
      <c r="D15" s="26"/>
      <c r="E15" s="26"/>
      <c r="F15" s="26"/>
      <c r="G15" s="26"/>
      <c r="H15" s="26"/>
      <c r="I15" s="26"/>
      <c r="J15" s="26"/>
      <c r="K15" s="26"/>
      <c r="L15" s="26"/>
      <c r="M15" s="26"/>
      <c r="N15" s="26"/>
      <c r="O15" s="26"/>
      <c r="P15" s="26"/>
      <c r="Q15" s="26"/>
      <c r="R15" s="26"/>
      <c r="S15" s="26"/>
      <c r="T15" s="26"/>
      <c r="U15" s="26"/>
      <c r="V15" s="26"/>
      <c r="W15" s="26"/>
      <c r="X15" s="26"/>
      <c r="Y15" s="26"/>
      <c r="Z15" s="26"/>
    </row>
    <row r="16" spans="1:26">
      <c r="A16" s="117" t="s">
        <v>279</v>
      </c>
      <c r="B16" s="122">
        <v>2138</v>
      </c>
      <c r="C16" s="8"/>
      <c r="D16" s="26"/>
      <c r="E16" s="26"/>
      <c r="F16" s="26"/>
      <c r="G16" s="26"/>
      <c r="H16" s="26"/>
      <c r="I16" s="26"/>
      <c r="J16" s="26"/>
      <c r="K16" s="26"/>
      <c r="L16" s="26"/>
      <c r="M16" s="26"/>
      <c r="N16" s="26"/>
      <c r="O16" s="26"/>
      <c r="P16" s="26"/>
      <c r="Q16" s="26"/>
      <c r="R16" s="26"/>
      <c r="S16" s="26"/>
      <c r="T16" s="26"/>
      <c r="U16" s="26"/>
      <c r="V16" s="26"/>
      <c r="W16" s="26"/>
      <c r="X16" s="26"/>
      <c r="Y16" s="26"/>
      <c r="Z16" s="26"/>
    </row>
    <row r="17" spans="1:26">
      <c r="A17" s="8" t="s">
        <v>271</v>
      </c>
      <c r="B17" s="120">
        <f>B15-B16</f>
        <v>4469.8</v>
      </c>
      <c r="C17" s="8"/>
      <c r="D17" s="26"/>
      <c r="E17" s="26"/>
      <c r="F17" s="26"/>
      <c r="G17" s="26"/>
      <c r="H17" s="26"/>
      <c r="I17" s="26"/>
      <c r="J17" s="26"/>
      <c r="K17" s="26"/>
      <c r="L17" s="26"/>
      <c r="M17" s="26"/>
      <c r="N17" s="26"/>
      <c r="O17" s="26"/>
      <c r="P17" s="26"/>
      <c r="Q17" s="26"/>
      <c r="R17" s="26"/>
      <c r="S17" s="26"/>
      <c r="T17" s="26"/>
      <c r="U17" s="26"/>
      <c r="V17" s="26"/>
      <c r="W17" s="26"/>
      <c r="X17" s="26"/>
      <c r="Y17" s="26"/>
      <c r="Z17" s="26"/>
    </row>
    <row r="18" spans="1:26">
      <c r="A18" s="117" t="s">
        <v>270</v>
      </c>
      <c r="B18" s="128">
        <v>136.96</v>
      </c>
      <c r="C18" s="8"/>
      <c r="D18" s="26"/>
      <c r="E18" s="26"/>
      <c r="F18" s="26"/>
      <c r="G18" s="26"/>
      <c r="H18" s="26"/>
      <c r="I18" s="26"/>
      <c r="J18" s="26"/>
      <c r="K18" s="26"/>
      <c r="L18" s="26"/>
      <c r="M18" s="26"/>
      <c r="N18" s="26"/>
      <c r="O18" s="26"/>
      <c r="P18" s="26"/>
      <c r="Q18" s="26"/>
      <c r="R18" s="26"/>
      <c r="S18" s="26"/>
      <c r="T18" s="26"/>
      <c r="U18" s="26"/>
      <c r="V18" s="26"/>
      <c r="W18" s="26"/>
      <c r="X18" s="26"/>
      <c r="Y18" s="26"/>
      <c r="Z18" s="26"/>
    </row>
    <row r="19" spans="1:26">
      <c r="A19" s="119" t="s">
        <v>280</v>
      </c>
      <c r="B19" s="129">
        <f>B17/B18</f>
        <v>32.635806074766357</v>
      </c>
      <c r="C19" s="8"/>
      <c r="D19" s="26"/>
      <c r="E19" s="26"/>
      <c r="F19" s="26"/>
      <c r="G19" s="26"/>
      <c r="H19" s="26"/>
      <c r="I19" s="26"/>
      <c r="J19" s="26"/>
      <c r="K19" s="26"/>
      <c r="L19" s="26"/>
      <c r="M19" s="26"/>
      <c r="N19" s="26"/>
      <c r="O19" s="26"/>
      <c r="P19" s="26"/>
      <c r="Q19" s="26"/>
      <c r="R19" s="26"/>
      <c r="S19" s="26"/>
      <c r="T19" s="26"/>
      <c r="U19" s="26"/>
      <c r="V19" s="26"/>
      <c r="W19" s="26"/>
      <c r="X19" s="26"/>
      <c r="Y19" s="26"/>
      <c r="Z19" s="26"/>
    </row>
    <row r="20" spans="1:26">
      <c r="A20" s="8" t="s">
        <v>281</v>
      </c>
      <c r="B20" s="130">
        <f>B19/B3-1</f>
        <v>0.38053325189366993</v>
      </c>
      <c r="C20" s="8"/>
      <c r="D20" s="26"/>
      <c r="E20" s="26"/>
      <c r="F20" s="26"/>
      <c r="G20" s="26"/>
      <c r="H20" s="26"/>
      <c r="I20" s="26"/>
      <c r="J20" s="26"/>
      <c r="K20" s="26"/>
      <c r="L20" s="26"/>
      <c r="M20" s="26"/>
      <c r="N20" s="26"/>
      <c r="O20" s="26"/>
      <c r="P20" s="26"/>
      <c r="Q20" s="26"/>
      <c r="R20" s="26"/>
      <c r="S20" s="26"/>
      <c r="T20" s="26"/>
      <c r="U20" s="26"/>
      <c r="V20" s="26"/>
      <c r="W20" s="26"/>
      <c r="X20" s="26"/>
      <c r="Y20" s="26"/>
      <c r="Z20" s="26"/>
    </row>
    <row r="21" spans="1:26">
      <c r="A21" s="119" t="s">
        <v>282</v>
      </c>
      <c r="B21" s="131">
        <f>(1+B20)^(1/3)-1</f>
        <v>0.11347966611681404</v>
      </c>
      <c r="C21" s="8"/>
      <c r="D21" s="26"/>
      <c r="E21" s="26"/>
      <c r="F21" s="26"/>
      <c r="G21" s="26"/>
      <c r="H21" s="26"/>
      <c r="I21" s="26"/>
      <c r="J21" s="26"/>
      <c r="K21" s="26"/>
      <c r="L21" s="26"/>
      <c r="M21" s="26"/>
      <c r="N21" s="26"/>
      <c r="O21" s="26"/>
      <c r="P21" s="26"/>
      <c r="Q21" s="26"/>
      <c r="R21" s="26"/>
      <c r="S21" s="26"/>
      <c r="T21" s="26"/>
      <c r="U21" s="26"/>
      <c r="V21" s="26"/>
      <c r="W21" s="26"/>
      <c r="X21" s="26"/>
      <c r="Y21" s="26"/>
      <c r="Z21" s="26"/>
    </row>
    <row r="22" spans="1:26">
      <c r="A22" s="8"/>
      <c r="B22" s="132"/>
      <c r="C22" s="8"/>
      <c r="D22" s="26"/>
      <c r="E22" s="26"/>
      <c r="F22" s="26"/>
      <c r="G22" s="26"/>
      <c r="H22" s="26"/>
      <c r="I22" s="26"/>
      <c r="J22" s="26"/>
      <c r="K22" s="26"/>
      <c r="L22" s="26"/>
      <c r="M22" s="26"/>
      <c r="N22" s="26"/>
      <c r="O22" s="26"/>
      <c r="P22" s="26"/>
      <c r="Q22" s="26"/>
      <c r="R22" s="26"/>
      <c r="S22" s="26"/>
      <c r="T22" s="26"/>
      <c r="U22" s="26"/>
      <c r="V22" s="26"/>
      <c r="W22" s="26"/>
      <c r="X22" s="26"/>
      <c r="Y22" s="26"/>
      <c r="Z22" s="26"/>
    </row>
    <row r="23" spans="1:26">
      <c r="A23" s="119" t="s">
        <v>283</v>
      </c>
      <c r="B23" s="129">
        <f>DCF!C42</f>
        <v>558</v>
      </c>
      <c r="C23" s="8"/>
      <c r="D23" s="26"/>
      <c r="E23" s="26"/>
      <c r="F23" s="26"/>
      <c r="G23" s="26"/>
      <c r="H23" s="26"/>
      <c r="I23" s="26"/>
      <c r="J23" s="26"/>
      <c r="K23" s="26"/>
      <c r="L23" s="26"/>
      <c r="M23" s="26"/>
      <c r="N23" s="26"/>
      <c r="O23" s="26"/>
      <c r="P23" s="26"/>
      <c r="Q23" s="26"/>
      <c r="R23" s="26"/>
      <c r="S23" s="26"/>
      <c r="T23" s="26"/>
      <c r="U23" s="26"/>
      <c r="V23" s="26"/>
      <c r="W23" s="26"/>
      <c r="X23" s="26"/>
      <c r="Y23" s="26"/>
      <c r="Z23" s="26"/>
    </row>
    <row r="24" spans="1:26">
      <c r="A24" s="8" t="s">
        <v>281</v>
      </c>
      <c r="B24" s="130">
        <f>B23/B3-1</f>
        <v>22.604060913705585</v>
      </c>
      <c r="C24" s="8"/>
      <c r="D24" s="26"/>
      <c r="E24" s="26"/>
      <c r="F24" s="26"/>
      <c r="G24" s="26"/>
      <c r="H24" s="26"/>
      <c r="I24" s="26"/>
      <c r="J24" s="26"/>
      <c r="K24" s="26"/>
      <c r="L24" s="26"/>
      <c r="M24" s="26"/>
      <c r="N24" s="26"/>
      <c r="O24" s="26"/>
      <c r="P24" s="26"/>
      <c r="Q24" s="26"/>
      <c r="R24" s="26"/>
      <c r="S24" s="26"/>
      <c r="T24" s="26"/>
      <c r="U24" s="26"/>
      <c r="V24" s="26"/>
      <c r="W24" s="26"/>
      <c r="X24" s="26"/>
      <c r="Y24" s="26"/>
      <c r="Z24" s="26"/>
    </row>
    <row r="25" spans="1:26">
      <c r="A25" s="119" t="s">
        <v>282</v>
      </c>
      <c r="B25" s="131">
        <f>(1+B24)^(1/3)-1</f>
        <v>1.8685487980596713</v>
      </c>
      <c r="C25" s="8"/>
      <c r="D25" s="26"/>
      <c r="E25" s="26"/>
      <c r="F25" s="26"/>
      <c r="G25" s="26"/>
      <c r="H25" s="26"/>
      <c r="I25" s="26"/>
      <c r="J25" s="26"/>
      <c r="K25" s="26"/>
      <c r="L25" s="26"/>
      <c r="M25" s="26"/>
      <c r="N25" s="26"/>
      <c r="O25" s="26"/>
      <c r="P25" s="26"/>
      <c r="Q25" s="26"/>
      <c r="R25" s="26"/>
      <c r="S25" s="26"/>
      <c r="T25" s="26"/>
      <c r="U25" s="26"/>
      <c r="V25" s="26"/>
      <c r="W25" s="26"/>
      <c r="X25" s="26"/>
      <c r="Y25" s="26"/>
      <c r="Z25" s="26"/>
    </row>
    <row r="26" spans="1:26">
      <c r="A26" s="8"/>
      <c r="B26" s="8"/>
      <c r="C26" s="8"/>
      <c r="D26" s="26"/>
      <c r="E26" s="26"/>
      <c r="F26" s="26"/>
      <c r="G26" s="26"/>
      <c r="H26" s="26"/>
      <c r="I26" s="26"/>
      <c r="J26" s="26"/>
      <c r="K26" s="26"/>
      <c r="L26" s="26"/>
      <c r="M26" s="26"/>
      <c r="N26" s="26"/>
      <c r="O26" s="26"/>
      <c r="P26" s="26"/>
      <c r="Q26" s="26"/>
      <c r="R26" s="26"/>
      <c r="S26" s="26"/>
      <c r="T26" s="26"/>
      <c r="U26" s="26"/>
      <c r="V26" s="26"/>
      <c r="W26" s="26"/>
      <c r="X26" s="26"/>
      <c r="Y26" s="26"/>
      <c r="Z26" s="26"/>
    </row>
    <row r="27" spans="1:26">
      <c r="A27" s="119" t="s">
        <v>284</v>
      </c>
      <c r="B27" s="129">
        <f>AVERAGE(B23,B19)</f>
        <v>295.31790303738319</v>
      </c>
      <c r="C27" s="8"/>
      <c r="D27" s="26"/>
      <c r="E27" s="26"/>
      <c r="F27" s="26"/>
      <c r="G27" s="26"/>
      <c r="H27" s="26"/>
      <c r="I27" s="26"/>
      <c r="J27" s="26"/>
      <c r="K27" s="26"/>
      <c r="L27" s="26"/>
      <c r="M27" s="26"/>
      <c r="N27" s="26"/>
      <c r="O27" s="26"/>
      <c r="P27" s="26"/>
      <c r="Q27" s="26"/>
      <c r="R27" s="26"/>
      <c r="S27" s="26"/>
      <c r="T27" s="26"/>
      <c r="U27" s="26"/>
      <c r="V27" s="26"/>
      <c r="W27" s="26"/>
      <c r="X27" s="26"/>
      <c r="Y27" s="26"/>
      <c r="Z27" s="26"/>
    </row>
    <row r="28" spans="1:26">
      <c r="A28" s="8" t="s">
        <v>281</v>
      </c>
      <c r="B28" s="130">
        <f>B27/B3-1</f>
        <v>11.492297082799627</v>
      </c>
      <c r="C28" s="8"/>
      <c r="D28" s="26"/>
      <c r="E28" s="26"/>
      <c r="F28" s="26"/>
      <c r="G28" s="26"/>
      <c r="H28" s="26"/>
      <c r="I28" s="26"/>
      <c r="J28" s="26"/>
      <c r="K28" s="26"/>
      <c r="L28" s="26"/>
      <c r="M28" s="26"/>
      <c r="N28" s="26"/>
      <c r="O28" s="26"/>
      <c r="P28" s="26"/>
      <c r="Q28" s="26"/>
      <c r="R28" s="26"/>
      <c r="S28" s="26"/>
      <c r="T28" s="26"/>
      <c r="U28" s="26"/>
      <c r="V28" s="26"/>
      <c r="W28" s="26"/>
      <c r="X28" s="26"/>
      <c r="Y28" s="26"/>
      <c r="Z28" s="26"/>
    </row>
    <row r="29" spans="1:26">
      <c r="A29" s="119" t="s">
        <v>282</v>
      </c>
      <c r="B29" s="131">
        <f>(1+B28)^(1/3)-1</f>
        <v>1.3203176018570311</v>
      </c>
      <c r="C29" s="8"/>
      <c r="D29" s="26"/>
      <c r="E29" s="26"/>
      <c r="F29" s="26"/>
      <c r="G29" s="26"/>
      <c r="H29" s="26"/>
      <c r="I29" s="26"/>
      <c r="J29" s="26"/>
      <c r="K29" s="26"/>
      <c r="L29" s="26"/>
      <c r="M29" s="26"/>
      <c r="N29" s="26"/>
      <c r="O29" s="26"/>
      <c r="P29" s="26"/>
      <c r="Q29" s="26"/>
      <c r="R29" s="26"/>
      <c r="S29" s="26"/>
      <c r="T29" s="26"/>
      <c r="U29" s="26"/>
      <c r="V29" s="26"/>
      <c r="W29" s="26"/>
      <c r="X29" s="26"/>
      <c r="Y29" s="26"/>
      <c r="Z29" s="26"/>
    </row>
    <row r="30" spans="1:26">
      <c r="A30" s="8"/>
      <c r="B30" s="8"/>
      <c r="C30" s="8"/>
      <c r="D30" s="26"/>
      <c r="E30" s="26"/>
      <c r="F30" s="26"/>
      <c r="G30" s="26"/>
      <c r="H30" s="26"/>
      <c r="I30" s="26"/>
      <c r="J30" s="26"/>
      <c r="K30" s="26"/>
      <c r="L30" s="26"/>
      <c r="M30" s="26"/>
      <c r="N30" s="26"/>
      <c r="O30" s="26"/>
      <c r="P30" s="26"/>
      <c r="Q30" s="26"/>
      <c r="R30" s="26"/>
      <c r="S30" s="26"/>
      <c r="T30" s="26"/>
      <c r="U30" s="26"/>
      <c r="V30" s="26"/>
      <c r="W30" s="26"/>
      <c r="X30" s="26"/>
      <c r="Y30" s="26"/>
      <c r="Z30" s="26"/>
    </row>
    <row r="31" spans="1:26">
      <c r="A31" s="8"/>
      <c r="B31" s="8"/>
      <c r="C31" s="8"/>
      <c r="D31" s="26"/>
      <c r="E31" s="26"/>
      <c r="F31" s="26"/>
      <c r="G31" s="26"/>
      <c r="H31" s="26"/>
      <c r="I31" s="26"/>
      <c r="J31" s="26"/>
      <c r="K31" s="26"/>
      <c r="L31" s="26"/>
      <c r="M31" s="26"/>
      <c r="N31" s="26"/>
      <c r="O31" s="26"/>
      <c r="P31" s="26"/>
      <c r="Q31" s="26"/>
      <c r="R31" s="26"/>
      <c r="S31" s="26"/>
      <c r="T31" s="26"/>
      <c r="U31" s="26"/>
      <c r="V31" s="26"/>
      <c r="W31" s="26"/>
      <c r="X31" s="26"/>
      <c r="Y31" s="26"/>
      <c r="Z31" s="26"/>
    </row>
    <row r="32" spans="1:26">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baseColWidth="10" defaultColWidth="12.6640625" defaultRowHeight="15" customHeight="1"/>
  <cols>
    <col min="1" max="1" width="25.1640625" customWidth="1"/>
  </cols>
  <sheetData>
    <row r="1" spans="1:26">
      <c r="A1" s="33"/>
      <c r="B1" s="33"/>
      <c r="C1" s="33"/>
      <c r="D1" s="33"/>
      <c r="E1" s="33"/>
      <c r="F1" s="59"/>
      <c r="G1" s="59"/>
      <c r="H1" s="59"/>
      <c r="I1" s="59"/>
      <c r="J1" s="59"/>
      <c r="K1" s="59"/>
      <c r="L1" s="59"/>
      <c r="M1" s="59"/>
      <c r="N1" s="59"/>
      <c r="O1" s="59"/>
      <c r="P1" s="59"/>
      <c r="Q1" s="59"/>
      <c r="R1" s="59"/>
      <c r="S1" s="59"/>
      <c r="T1" s="59"/>
      <c r="U1" s="59"/>
      <c r="V1" s="59"/>
      <c r="W1" s="59"/>
      <c r="X1" s="59"/>
      <c r="Y1" s="59"/>
      <c r="Z1" s="59"/>
    </row>
    <row r="2" spans="1:26">
      <c r="A2" s="33"/>
      <c r="B2" s="9" t="s">
        <v>285</v>
      </c>
      <c r="C2" s="9" t="s">
        <v>286</v>
      </c>
      <c r="D2" s="9" t="s">
        <v>287</v>
      </c>
      <c r="E2" s="33"/>
      <c r="F2" s="59"/>
      <c r="G2" s="59"/>
      <c r="H2" s="59"/>
      <c r="I2" s="59"/>
      <c r="J2" s="59"/>
      <c r="K2" s="59"/>
      <c r="L2" s="59"/>
      <c r="M2" s="59"/>
      <c r="N2" s="59"/>
      <c r="O2" s="59"/>
      <c r="P2" s="59"/>
      <c r="Q2" s="59"/>
      <c r="R2" s="59"/>
      <c r="S2" s="59"/>
      <c r="T2" s="59"/>
      <c r="U2" s="59"/>
      <c r="V2" s="59"/>
      <c r="W2" s="59"/>
      <c r="X2" s="59"/>
      <c r="Y2" s="59"/>
      <c r="Z2" s="59"/>
    </row>
    <row r="3" spans="1:26">
      <c r="A3" s="133"/>
      <c r="B3" s="134" t="s">
        <v>99</v>
      </c>
      <c r="C3" s="134" t="s">
        <v>99</v>
      </c>
      <c r="D3" s="134" t="s">
        <v>99</v>
      </c>
      <c r="E3" s="33"/>
      <c r="F3" s="59"/>
      <c r="G3" s="59"/>
      <c r="H3" s="59"/>
      <c r="I3" s="59"/>
      <c r="J3" s="59"/>
      <c r="K3" s="59"/>
      <c r="L3" s="59"/>
      <c r="M3" s="59"/>
      <c r="N3" s="59"/>
      <c r="O3" s="59"/>
      <c r="P3" s="59"/>
      <c r="Q3" s="59"/>
      <c r="R3" s="59"/>
      <c r="S3" s="59"/>
      <c r="T3" s="59"/>
      <c r="U3" s="59"/>
      <c r="V3" s="59"/>
      <c r="W3" s="59"/>
      <c r="X3" s="59"/>
      <c r="Y3" s="59"/>
      <c r="Z3" s="59"/>
    </row>
    <row r="4" spans="1:26">
      <c r="A4" s="8" t="s">
        <v>103</v>
      </c>
      <c r="B4" s="135">
        <v>3708.1</v>
      </c>
      <c r="C4" s="135">
        <v>4025</v>
      </c>
      <c r="D4" s="135">
        <v>3255</v>
      </c>
      <c r="E4" s="33"/>
      <c r="F4" s="59"/>
      <c r="G4" s="59"/>
      <c r="H4" s="59"/>
      <c r="I4" s="59"/>
      <c r="J4" s="59"/>
      <c r="K4" s="59"/>
      <c r="L4" s="59"/>
      <c r="M4" s="59"/>
      <c r="N4" s="59"/>
      <c r="O4" s="59"/>
      <c r="P4" s="59"/>
      <c r="Q4" s="59"/>
      <c r="R4" s="59"/>
      <c r="S4" s="59"/>
      <c r="T4" s="59"/>
      <c r="U4" s="59"/>
      <c r="V4" s="59"/>
      <c r="W4" s="59"/>
      <c r="X4" s="59"/>
      <c r="Y4" s="59"/>
      <c r="Z4" s="59"/>
    </row>
    <row r="5" spans="1:26">
      <c r="A5" s="136" t="s">
        <v>288</v>
      </c>
      <c r="B5" s="137">
        <v>6.1600000000000002E-2</v>
      </c>
      <c r="C5" s="137">
        <v>9.0999999999999998E-2</v>
      </c>
      <c r="D5" s="137">
        <v>1.54E-2</v>
      </c>
      <c r="E5" s="33"/>
      <c r="F5" s="59"/>
      <c r="G5" s="59"/>
      <c r="H5" s="59"/>
      <c r="I5" s="59"/>
      <c r="J5" s="59"/>
      <c r="K5" s="59"/>
      <c r="L5" s="59"/>
      <c r="M5" s="59"/>
      <c r="N5" s="59"/>
      <c r="O5" s="59"/>
      <c r="P5" s="59"/>
      <c r="Q5" s="59"/>
      <c r="R5" s="59"/>
      <c r="S5" s="59"/>
      <c r="T5" s="59"/>
      <c r="U5" s="59"/>
      <c r="V5" s="59"/>
      <c r="W5" s="59"/>
      <c r="X5" s="59"/>
      <c r="Y5" s="59"/>
      <c r="Z5" s="59"/>
    </row>
    <row r="6" spans="1:26">
      <c r="A6" s="42"/>
      <c r="B6" s="33"/>
      <c r="C6" s="33"/>
      <c r="D6" s="33"/>
      <c r="E6" s="33"/>
      <c r="F6" s="59"/>
      <c r="G6" s="59"/>
      <c r="H6" s="59"/>
      <c r="I6" s="59"/>
      <c r="J6" s="59"/>
      <c r="K6" s="59"/>
      <c r="L6" s="59"/>
      <c r="M6" s="59"/>
      <c r="N6" s="59"/>
      <c r="O6" s="59"/>
      <c r="P6" s="59"/>
      <c r="Q6" s="59"/>
      <c r="R6" s="59"/>
      <c r="S6" s="59"/>
      <c r="T6" s="59"/>
      <c r="U6" s="59"/>
      <c r="V6" s="59"/>
      <c r="W6" s="59"/>
      <c r="X6" s="59"/>
      <c r="Y6" s="59"/>
      <c r="Z6" s="59"/>
    </row>
    <row r="7" spans="1:26">
      <c r="A7" s="8" t="s">
        <v>185</v>
      </c>
      <c r="B7" s="135">
        <v>734.2</v>
      </c>
      <c r="C7" s="135">
        <v>885.6</v>
      </c>
      <c r="D7" s="135">
        <v>520.79999999999995</v>
      </c>
      <c r="E7" s="33"/>
      <c r="F7" s="59"/>
      <c r="G7" s="59"/>
      <c r="H7" s="59"/>
      <c r="I7" s="59"/>
      <c r="J7" s="59"/>
      <c r="K7" s="59"/>
      <c r="L7" s="59"/>
      <c r="M7" s="59"/>
      <c r="N7" s="59"/>
      <c r="O7" s="59"/>
      <c r="P7" s="59"/>
      <c r="Q7" s="59"/>
      <c r="R7" s="59"/>
      <c r="S7" s="59"/>
      <c r="T7" s="59"/>
      <c r="U7" s="59"/>
      <c r="V7" s="59"/>
      <c r="W7" s="59"/>
      <c r="X7" s="59"/>
      <c r="Y7" s="59"/>
      <c r="Z7" s="59"/>
    </row>
    <row r="8" spans="1:26">
      <c r="A8" s="136" t="s">
        <v>186</v>
      </c>
      <c r="B8" s="138">
        <f t="shared" ref="B8:D8" si="0">B7/B$4</f>
        <v>0.19799897521641813</v>
      </c>
      <c r="C8" s="138">
        <f t="shared" si="0"/>
        <v>0.22002484472049691</v>
      </c>
      <c r="D8" s="138">
        <f t="shared" si="0"/>
        <v>0.15999999999999998</v>
      </c>
      <c r="E8" s="33"/>
      <c r="F8" s="59"/>
      <c r="G8" s="59"/>
      <c r="H8" s="59"/>
      <c r="I8" s="59"/>
      <c r="J8" s="59"/>
      <c r="K8" s="59"/>
      <c r="L8" s="59"/>
      <c r="M8" s="59"/>
      <c r="N8" s="59"/>
      <c r="O8" s="59"/>
      <c r="P8" s="59"/>
      <c r="Q8" s="59"/>
      <c r="R8" s="59"/>
      <c r="S8" s="59"/>
      <c r="T8" s="59"/>
      <c r="U8" s="59"/>
      <c r="V8" s="59"/>
      <c r="W8" s="59"/>
      <c r="X8" s="59"/>
      <c r="Y8" s="59"/>
      <c r="Z8" s="59"/>
    </row>
    <row r="9" spans="1:26">
      <c r="A9" s="42"/>
      <c r="B9" s="42"/>
      <c r="C9" s="42"/>
      <c r="D9" s="42"/>
      <c r="E9" s="33"/>
      <c r="F9" s="59"/>
      <c r="G9" s="59"/>
      <c r="H9" s="59"/>
      <c r="I9" s="59"/>
      <c r="J9" s="59"/>
      <c r="K9" s="59"/>
      <c r="L9" s="59"/>
      <c r="M9" s="59"/>
      <c r="N9" s="59"/>
      <c r="O9" s="59"/>
      <c r="P9" s="59"/>
      <c r="Q9" s="59"/>
      <c r="R9" s="59"/>
      <c r="S9" s="59"/>
      <c r="T9" s="59"/>
      <c r="U9" s="59"/>
      <c r="V9" s="59"/>
      <c r="W9" s="59"/>
      <c r="X9" s="59"/>
      <c r="Y9" s="59"/>
      <c r="Z9" s="59"/>
    </row>
    <row r="10" spans="1:26">
      <c r="A10" s="8" t="s">
        <v>289</v>
      </c>
      <c r="B10" s="44">
        <v>310.5</v>
      </c>
      <c r="C10" s="44">
        <v>415.3</v>
      </c>
      <c r="D10" s="44">
        <v>112.4</v>
      </c>
      <c r="E10" s="33"/>
      <c r="F10" s="59"/>
      <c r="G10" s="59"/>
      <c r="H10" s="59"/>
      <c r="I10" s="59"/>
      <c r="J10" s="59"/>
      <c r="K10" s="59"/>
      <c r="L10" s="59"/>
      <c r="M10" s="59"/>
      <c r="N10" s="59"/>
      <c r="O10" s="59"/>
      <c r="P10" s="59"/>
      <c r="Q10" s="59"/>
      <c r="R10" s="59"/>
      <c r="S10" s="59"/>
      <c r="T10" s="59"/>
      <c r="U10" s="59"/>
      <c r="V10" s="59"/>
      <c r="W10" s="59"/>
      <c r="X10" s="59"/>
      <c r="Y10" s="59"/>
      <c r="Z10" s="59"/>
    </row>
    <row r="11" spans="1:26">
      <c r="A11" s="136" t="s">
        <v>186</v>
      </c>
      <c r="B11" s="138">
        <f t="shared" ref="B11:D11" si="1">B10/B$4</f>
        <v>8.373560583587282E-2</v>
      </c>
      <c r="C11" s="138">
        <f t="shared" si="1"/>
        <v>0.10318012422360248</v>
      </c>
      <c r="D11" s="138">
        <f t="shared" si="1"/>
        <v>3.4531490015360988E-2</v>
      </c>
      <c r="E11" s="33"/>
      <c r="F11" s="59"/>
      <c r="G11" s="59"/>
      <c r="H11" s="59"/>
      <c r="I11" s="59"/>
      <c r="J11" s="59"/>
      <c r="K11" s="59"/>
      <c r="L11" s="59"/>
      <c r="M11" s="59"/>
      <c r="N11" s="59"/>
      <c r="O11" s="59"/>
      <c r="P11" s="59"/>
      <c r="Q11" s="59"/>
      <c r="R11" s="59"/>
      <c r="S11" s="59"/>
      <c r="T11" s="59"/>
      <c r="U11" s="59"/>
      <c r="V11" s="59"/>
      <c r="W11" s="59"/>
      <c r="X11" s="59"/>
      <c r="Y11" s="59"/>
      <c r="Z11" s="59"/>
    </row>
    <row r="12" spans="1:26">
      <c r="A12" s="136" t="s">
        <v>290</v>
      </c>
      <c r="B12" s="138">
        <f t="shared" ref="B12:D12" si="2">B10/B7</f>
        <v>0.42290928902206482</v>
      </c>
      <c r="C12" s="138">
        <f t="shared" si="2"/>
        <v>0.46894760614272807</v>
      </c>
      <c r="D12" s="138">
        <f t="shared" si="2"/>
        <v>0.21582181259600616</v>
      </c>
      <c r="E12" s="33"/>
      <c r="F12" s="59"/>
      <c r="G12" s="59"/>
      <c r="H12" s="59"/>
      <c r="I12" s="59"/>
      <c r="J12" s="59"/>
      <c r="K12" s="59"/>
      <c r="L12" s="59"/>
      <c r="M12" s="59"/>
      <c r="N12" s="59"/>
      <c r="O12" s="59"/>
      <c r="P12" s="59"/>
      <c r="Q12" s="59"/>
      <c r="R12" s="59"/>
      <c r="S12" s="59"/>
      <c r="T12" s="59"/>
      <c r="U12" s="59"/>
      <c r="V12" s="59"/>
      <c r="W12" s="59"/>
      <c r="X12" s="59"/>
      <c r="Y12" s="59"/>
      <c r="Z12" s="59"/>
    </row>
    <row r="13" spans="1:26">
      <c r="A13" s="42"/>
      <c r="B13" s="33"/>
      <c r="C13" s="33"/>
      <c r="D13" s="33"/>
      <c r="E13" s="33"/>
      <c r="F13" s="59"/>
      <c r="G13" s="59"/>
      <c r="H13" s="59"/>
      <c r="I13" s="59"/>
      <c r="J13" s="59"/>
      <c r="K13" s="59"/>
      <c r="L13" s="59"/>
      <c r="M13" s="59"/>
      <c r="N13" s="59"/>
      <c r="O13" s="59"/>
      <c r="P13" s="59"/>
      <c r="Q13" s="59"/>
      <c r="R13" s="59"/>
      <c r="S13" s="59"/>
      <c r="T13" s="59"/>
      <c r="U13" s="59"/>
      <c r="V13" s="59"/>
      <c r="W13" s="59"/>
      <c r="X13" s="59"/>
      <c r="Y13" s="59"/>
      <c r="Z13" s="59"/>
    </row>
    <row r="14" spans="1:26">
      <c r="A14" s="8" t="s">
        <v>291</v>
      </c>
      <c r="B14" s="139">
        <v>13.5</v>
      </c>
      <c r="C14" s="139">
        <v>16.5</v>
      </c>
      <c r="D14" s="139">
        <v>11</v>
      </c>
      <c r="E14" s="33"/>
      <c r="F14" s="59"/>
      <c r="G14" s="59"/>
      <c r="H14" s="59"/>
      <c r="I14" s="59"/>
      <c r="J14" s="59"/>
      <c r="K14" s="59"/>
      <c r="L14" s="59"/>
      <c r="M14" s="59"/>
      <c r="N14" s="59"/>
      <c r="O14" s="59"/>
      <c r="P14" s="59"/>
      <c r="Q14" s="59"/>
      <c r="R14" s="59"/>
      <c r="S14" s="59"/>
      <c r="T14" s="59"/>
      <c r="U14" s="59"/>
      <c r="V14" s="59"/>
      <c r="W14" s="59"/>
      <c r="X14" s="59"/>
      <c r="Y14" s="59"/>
      <c r="Z14" s="59"/>
    </row>
    <row r="15" spans="1:26">
      <c r="A15" s="8" t="s">
        <v>225</v>
      </c>
      <c r="B15" s="140">
        <f t="shared" ref="B15:D15" si="3">B14*B7</f>
        <v>9911.7000000000007</v>
      </c>
      <c r="C15" s="140">
        <f t="shared" si="3"/>
        <v>14612.4</v>
      </c>
      <c r="D15" s="140">
        <f t="shared" si="3"/>
        <v>5728.7999999999993</v>
      </c>
      <c r="E15" s="33"/>
      <c r="F15" s="59"/>
      <c r="G15" s="59"/>
      <c r="H15" s="59"/>
      <c r="I15" s="59"/>
      <c r="J15" s="59"/>
      <c r="K15" s="59"/>
      <c r="L15" s="59"/>
      <c r="M15" s="59"/>
      <c r="N15" s="59"/>
      <c r="O15" s="59"/>
      <c r="P15" s="59"/>
      <c r="Q15" s="59"/>
      <c r="R15" s="59"/>
      <c r="S15" s="59"/>
      <c r="T15" s="59"/>
      <c r="U15" s="59"/>
      <c r="V15" s="59"/>
      <c r="W15" s="59"/>
      <c r="X15" s="59"/>
      <c r="Y15" s="59"/>
      <c r="Z15" s="59"/>
    </row>
    <row r="16" spans="1:26">
      <c r="A16" s="117" t="s">
        <v>279</v>
      </c>
      <c r="B16" s="141">
        <v>47.6</v>
      </c>
      <c r="C16" s="141">
        <v>-115.2</v>
      </c>
      <c r="D16" s="141">
        <v>314.89999999999998</v>
      </c>
      <c r="E16" s="33"/>
      <c r="F16" s="59"/>
      <c r="G16" s="59"/>
      <c r="H16" s="59"/>
      <c r="I16" s="59"/>
      <c r="J16" s="59"/>
      <c r="K16" s="59"/>
      <c r="L16" s="59"/>
      <c r="M16" s="59"/>
      <c r="N16" s="59"/>
      <c r="O16" s="59"/>
      <c r="P16" s="59"/>
      <c r="Q16" s="59"/>
      <c r="R16" s="59"/>
      <c r="S16" s="59"/>
      <c r="T16" s="59"/>
      <c r="U16" s="59"/>
      <c r="V16" s="59"/>
      <c r="W16" s="59"/>
      <c r="X16" s="59"/>
      <c r="Y16" s="59"/>
      <c r="Z16" s="59"/>
    </row>
    <row r="17" spans="1:26">
      <c r="A17" s="8" t="s">
        <v>206</v>
      </c>
      <c r="B17" s="140">
        <f t="shared" ref="B17:D17" si="4">B15-B16</f>
        <v>9864.1</v>
      </c>
      <c r="C17" s="140">
        <f t="shared" si="4"/>
        <v>14727.6</v>
      </c>
      <c r="D17" s="140">
        <f t="shared" si="4"/>
        <v>5413.9</v>
      </c>
      <c r="E17" s="33"/>
      <c r="F17" s="59"/>
      <c r="G17" s="59"/>
      <c r="H17" s="59"/>
      <c r="I17" s="59"/>
      <c r="J17" s="59"/>
      <c r="K17" s="59"/>
      <c r="L17" s="59"/>
      <c r="M17" s="59"/>
      <c r="N17" s="59"/>
      <c r="O17" s="59"/>
      <c r="P17" s="59"/>
      <c r="Q17" s="59"/>
      <c r="R17" s="59"/>
      <c r="S17" s="59"/>
      <c r="T17" s="59"/>
      <c r="U17" s="59"/>
      <c r="V17" s="59"/>
      <c r="W17" s="59"/>
      <c r="X17" s="59"/>
      <c r="Y17" s="59"/>
      <c r="Z17" s="59"/>
    </row>
    <row r="18" spans="1:26">
      <c r="A18" s="117" t="s">
        <v>292</v>
      </c>
      <c r="B18" s="142">
        <v>135.19999999999999</v>
      </c>
      <c r="C18" s="142">
        <v>132.5</v>
      </c>
      <c r="D18" s="142">
        <v>136.9</v>
      </c>
      <c r="E18" s="33"/>
      <c r="F18" s="59"/>
      <c r="G18" s="59"/>
      <c r="H18" s="59"/>
      <c r="I18" s="59"/>
      <c r="J18" s="59"/>
      <c r="K18" s="59"/>
      <c r="L18" s="59"/>
      <c r="M18" s="59"/>
      <c r="N18" s="59"/>
      <c r="O18" s="59"/>
      <c r="P18" s="59"/>
      <c r="Q18" s="59"/>
      <c r="R18" s="59"/>
      <c r="S18" s="59"/>
      <c r="T18" s="59"/>
      <c r="U18" s="59"/>
      <c r="V18" s="59"/>
      <c r="W18" s="59"/>
      <c r="X18" s="59"/>
      <c r="Y18" s="59"/>
      <c r="Z18" s="59"/>
    </row>
    <row r="19" spans="1:26">
      <c r="A19" s="119" t="s">
        <v>293</v>
      </c>
      <c r="B19" s="143">
        <f t="shared" ref="B19:D19" si="5">B17/B18</f>
        <v>72.959319526627226</v>
      </c>
      <c r="C19" s="143">
        <f t="shared" si="5"/>
        <v>111.15169811320754</v>
      </c>
      <c r="D19" s="143">
        <f t="shared" si="5"/>
        <v>39.546384222059892</v>
      </c>
      <c r="E19" s="33"/>
      <c r="F19" s="59"/>
      <c r="G19" s="59"/>
      <c r="H19" s="59"/>
      <c r="I19" s="59"/>
      <c r="J19" s="59"/>
      <c r="K19" s="59"/>
      <c r="L19" s="59"/>
      <c r="M19" s="59"/>
      <c r="N19" s="59"/>
      <c r="O19" s="59"/>
      <c r="P19" s="59"/>
      <c r="Q19" s="59"/>
      <c r="R19" s="59"/>
      <c r="S19" s="59"/>
      <c r="T19" s="59"/>
      <c r="U19" s="59"/>
      <c r="V19" s="59"/>
      <c r="W19" s="59"/>
      <c r="X19" s="59"/>
      <c r="Y19" s="59"/>
      <c r="Z19" s="59"/>
    </row>
    <row r="20" spans="1:26">
      <c r="A20" s="33"/>
      <c r="B20" s="33"/>
      <c r="C20" s="33"/>
      <c r="D20" s="33"/>
      <c r="E20" s="33"/>
      <c r="F20" s="59"/>
      <c r="G20" s="59"/>
      <c r="H20" s="59"/>
      <c r="I20" s="59"/>
      <c r="J20" s="59"/>
      <c r="K20" s="59"/>
      <c r="L20" s="59"/>
      <c r="M20" s="59"/>
      <c r="N20" s="59"/>
      <c r="O20" s="59"/>
      <c r="P20" s="59"/>
      <c r="Q20" s="59"/>
      <c r="R20" s="59"/>
      <c r="S20" s="59"/>
      <c r="T20" s="59"/>
      <c r="U20" s="59"/>
      <c r="V20" s="59"/>
      <c r="W20" s="59"/>
      <c r="X20" s="59"/>
      <c r="Y20" s="59"/>
      <c r="Z20" s="59"/>
    </row>
    <row r="21" spans="1:26">
      <c r="A21" s="8" t="s">
        <v>209</v>
      </c>
      <c r="B21" s="144">
        <v>208.6</v>
      </c>
      <c r="C21" s="145">
        <v>3.702</v>
      </c>
      <c r="D21" s="145">
        <v>0.67300000000000004</v>
      </c>
      <c r="E21" s="33"/>
      <c r="F21" s="59"/>
      <c r="G21" s="59"/>
      <c r="H21" s="59"/>
      <c r="I21" s="59"/>
      <c r="J21" s="59"/>
      <c r="K21" s="59"/>
      <c r="L21" s="59"/>
      <c r="M21" s="59"/>
      <c r="N21" s="59"/>
      <c r="O21" s="59"/>
      <c r="P21" s="59"/>
      <c r="Q21" s="59"/>
      <c r="R21" s="59"/>
      <c r="S21" s="59"/>
      <c r="T21" s="59"/>
      <c r="U21" s="59"/>
      <c r="V21" s="59"/>
      <c r="W21" s="59"/>
      <c r="X21" s="59"/>
      <c r="Y21" s="59"/>
      <c r="Z21" s="59"/>
    </row>
    <row r="22" spans="1:26">
      <c r="A22" s="119" t="s">
        <v>282</v>
      </c>
      <c r="B22" s="146">
        <f t="shared" ref="B22:D22" si="6">(1+B21)^(1/3)-1</f>
        <v>4.9401456353852842</v>
      </c>
      <c r="C22" s="146">
        <f t="shared" si="6"/>
        <v>0.67530624830313624</v>
      </c>
      <c r="D22" s="146">
        <f t="shared" si="6"/>
        <v>0.18713100261846027</v>
      </c>
      <c r="E22" s="33"/>
      <c r="F22" s="59"/>
      <c r="G22" s="59"/>
      <c r="H22" s="59"/>
      <c r="I22" s="59"/>
      <c r="J22" s="59"/>
      <c r="K22" s="59"/>
      <c r="L22" s="59"/>
      <c r="M22" s="59"/>
      <c r="N22" s="59"/>
      <c r="O22" s="59"/>
      <c r="P22" s="59"/>
      <c r="Q22" s="59"/>
      <c r="R22" s="59"/>
      <c r="S22" s="59"/>
      <c r="T22" s="59"/>
      <c r="U22" s="59"/>
      <c r="V22" s="59"/>
      <c r="W22" s="59"/>
      <c r="X22" s="59"/>
      <c r="Y22" s="59"/>
      <c r="Z22" s="59"/>
    </row>
    <row r="23" spans="1:26">
      <c r="A23" s="8" t="s">
        <v>294</v>
      </c>
      <c r="B23" s="147">
        <f t="shared" ref="B23:C23" si="7">-B21/$D$21</f>
        <v>-309.95542347696875</v>
      </c>
      <c r="C23" s="147">
        <f t="shared" si="7"/>
        <v>-5.5007429420505201</v>
      </c>
      <c r="D23" s="33"/>
      <c r="E23" s="33"/>
      <c r="F23" s="59"/>
      <c r="G23" s="59"/>
      <c r="H23" s="59"/>
      <c r="I23" s="59"/>
      <c r="J23" s="59"/>
      <c r="K23" s="59"/>
      <c r="L23" s="59"/>
      <c r="M23" s="59"/>
      <c r="N23" s="59"/>
      <c r="O23" s="59"/>
      <c r="P23" s="59"/>
      <c r="Q23" s="59"/>
      <c r="R23" s="59"/>
      <c r="S23" s="59"/>
      <c r="T23" s="59"/>
      <c r="U23" s="59"/>
      <c r="V23" s="59"/>
      <c r="W23" s="59"/>
      <c r="X23" s="59"/>
      <c r="Y23" s="59"/>
      <c r="Z23" s="59"/>
    </row>
    <row r="24" spans="1:26">
      <c r="A24" s="33"/>
      <c r="B24" s="33"/>
      <c r="C24" s="33"/>
      <c r="D24" s="33"/>
      <c r="E24" s="33"/>
      <c r="F24" s="59"/>
      <c r="G24" s="59"/>
      <c r="H24" s="59"/>
      <c r="I24" s="59"/>
      <c r="J24" s="59"/>
      <c r="K24" s="59"/>
      <c r="L24" s="59"/>
      <c r="M24" s="59"/>
      <c r="N24" s="59"/>
      <c r="O24" s="59"/>
      <c r="P24" s="59"/>
      <c r="Q24" s="59"/>
      <c r="R24" s="59"/>
      <c r="S24" s="59"/>
      <c r="T24" s="59"/>
      <c r="U24" s="59"/>
      <c r="V24" s="59"/>
      <c r="W24" s="59"/>
      <c r="X24" s="59"/>
      <c r="Y24" s="59"/>
      <c r="Z24" s="59"/>
    </row>
    <row r="25" spans="1:26">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spans="1:26">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spans="1:26">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spans="1:26">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spans="1:26">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spans="1:26">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spans="1:26">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spans="1:26">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spans="1:26">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spans="1:26">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spans="1:26">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spans="1:2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spans="1:26">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spans="1:26">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spans="1:26">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spans="1:26">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spans="1:26">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spans="1:26">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spans="1:26">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spans="1:26">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spans="1:2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spans="1:26">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spans="1:26">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spans="1:26">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spans="1:26">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spans="1:26">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spans="1:26">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spans="1:26">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spans="1:26">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spans="1:26">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spans="1:2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spans="1:26">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spans="1:26">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spans="1:26">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spans="1:26">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spans="1:26">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spans="1:26">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spans="1:26">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spans="1:26">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spans="1:26">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spans="1:26">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spans="1:26">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spans="1:26">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spans="1:26">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spans="1:2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spans="1:26">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spans="1:26">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spans="1:26">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spans="1:26">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spans="1:26">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spans="1:26">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spans="1:26">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spans="1:26">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spans="1:26">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spans="1:2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spans="1:26">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26">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spans="1:26">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spans="1:26">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spans="1:26">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spans="1:26">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spans="1:26">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spans="1:26">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spans="1:26">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spans="1:2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spans="1:26">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spans="1:26">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spans="1:26">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spans="1:26">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spans="1:26">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spans="1:26">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spans="1:26">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spans="1:26">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spans="1:26">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spans="1:26">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spans="1:26">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26">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spans="1:26">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spans="1:26">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spans="1:26">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spans="1:26">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spans="1:26">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spans="1:26">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spans="1:26">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spans="1:26">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spans="1:26">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spans="1:2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spans="1:26">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spans="1:26">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spans="1:26">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spans="1:26">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spans="1:26">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spans="1:26">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spans="1:26">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spans="1:26">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spans="1:26">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spans="1:2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spans="1:26">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spans="1:26">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spans="1:26">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spans="1:26">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spans="1:26">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spans="1:26">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spans="1:26">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spans="1:26">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spans="1:26">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spans="1:26">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spans="1:26">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spans="1:2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1:26">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spans="1:2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spans="1:26">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spans="1:26">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spans="1:26">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spans="1:26">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heetViews>
  <sheetFormatPr baseColWidth="10" defaultColWidth="12.6640625" defaultRowHeight="15" customHeight="1"/>
  <sheetData>
    <row r="1" spans="1:26">
      <c r="A1" s="148"/>
      <c r="B1" s="149" t="s">
        <v>295</v>
      </c>
      <c r="C1" s="149" t="s">
        <v>296</v>
      </c>
      <c r="D1" s="149" t="s">
        <v>297</v>
      </c>
      <c r="E1" s="150" t="s">
        <v>298</v>
      </c>
      <c r="F1" s="151" t="s">
        <v>299</v>
      </c>
      <c r="G1" s="151" t="s">
        <v>300</v>
      </c>
      <c r="H1" s="151" t="s">
        <v>301</v>
      </c>
      <c r="I1" s="151" t="s">
        <v>302</v>
      </c>
      <c r="J1" s="151" t="s">
        <v>303</v>
      </c>
      <c r="K1" s="33"/>
      <c r="L1" s="33"/>
      <c r="M1" s="59"/>
      <c r="N1" s="59"/>
      <c r="O1" s="59"/>
      <c r="P1" s="59"/>
      <c r="Q1" s="59"/>
      <c r="R1" s="59"/>
      <c r="S1" s="59"/>
      <c r="T1" s="59"/>
      <c r="U1" s="59"/>
      <c r="V1" s="59"/>
      <c r="W1" s="59"/>
      <c r="X1" s="59"/>
      <c r="Y1" s="59"/>
      <c r="Z1" s="59"/>
    </row>
    <row r="2" spans="1:26">
      <c r="A2" s="152" t="s">
        <v>103</v>
      </c>
      <c r="B2" s="153">
        <v>3240.5</v>
      </c>
      <c r="C2" s="153">
        <v>3497.4</v>
      </c>
      <c r="D2" s="153">
        <v>3402</v>
      </c>
      <c r="E2" s="153">
        <v>2937.6</v>
      </c>
      <c r="F2" s="154">
        <v>3069</v>
      </c>
      <c r="G2" s="153">
        <v>3222</v>
      </c>
      <c r="H2" s="153">
        <v>3383</v>
      </c>
      <c r="I2" s="153">
        <v>3552</v>
      </c>
      <c r="J2" s="153">
        <v>3730</v>
      </c>
      <c r="K2" s="155"/>
      <c r="L2" s="155"/>
      <c r="M2" s="59"/>
      <c r="N2" s="59"/>
      <c r="O2" s="59"/>
      <c r="P2" s="59"/>
      <c r="Q2" s="59"/>
      <c r="R2" s="59"/>
      <c r="S2" s="59"/>
      <c r="T2" s="59"/>
      <c r="U2" s="59"/>
      <c r="V2" s="59"/>
      <c r="W2" s="59"/>
      <c r="X2" s="59"/>
      <c r="Y2" s="59"/>
      <c r="Z2" s="59"/>
    </row>
    <row r="3" spans="1:26">
      <c r="A3" s="156" t="s">
        <v>184</v>
      </c>
      <c r="B3" s="157"/>
      <c r="C3" s="157">
        <v>7.9000000000000001E-2</v>
      </c>
      <c r="D3" s="157">
        <v>-2.7E-2</v>
      </c>
      <c r="E3" s="158">
        <v>0.13600000000000001</v>
      </c>
      <c r="F3" s="157">
        <v>4.4999999999999998E-2</v>
      </c>
      <c r="G3" s="157">
        <v>8.5999999999999993E-2</v>
      </c>
      <c r="H3" s="157">
        <v>8.5999999999999993E-2</v>
      </c>
      <c r="I3" s="157">
        <v>8.5000000000000006E-2</v>
      </c>
      <c r="J3" s="157">
        <v>8.4000000000000005E-2</v>
      </c>
      <c r="K3" s="155"/>
      <c r="L3" s="155"/>
      <c r="M3" s="59"/>
      <c r="N3" s="59"/>
      <c r="O3" s="59"/>
      <c r="P3" s="59"/>
      <c r="Q3" s="59"/>
      <c r="R3" s="59"/>
      <c r="S3" s="59"/>
      <c r="T3" s="59"/>
      <c r="U3" s="59"/>
      <c r="V3" s="59"/>
      <c r="W3" s="59"/>
      <c r="X3" s="59"/>
      <c r="Y3" s="59"/>
      <c r="Z3" s="59"/>
    </row>
    <row r="4" spans="1:26">
      <c r="A4" s="155"/>
      <c r="B4" s="159"/>
      <c r="C4" s="159"/>
      <c r="D4" s="159"/>
      <c r="E4" s="160"/>
      <c r="F4" s="159"/>
      <c r="G4" s="159"/>
      <c r="H4" s="159"/>
      <c r="I4" s="159"/>
      <c r="J4" s="159"/>
      <c r="K4" s="155"/>
      <c r="L4" s="155"/>
      <c r="M4" s="59"/>
      <c r="N4" s="59"/>
      <c r="O4" s="59"/>
      <c r="P4" s="59"/>
      <c r="Q4" s="59"/>
      <c r="R4" s="59"/>
      <c r="S4" s="59"/>
      <c r="T4" s="59"/>
      <c r="U4" s="59"/>
      <c r="V4" s="59"/>
      <c r="W4" s="59"/>
      <c r="X4" s="59"/>
      <c r="Y4" s="59"/>
      <c r="Z4" s="59"/>
    </row>
    <row r="5" spans="1:26">
      <c r="A5" s="152" t="s">
        <v>304</v>
      </c>
      <c r="B5" s="159">
        <v>898</v>
      </c>
      <c r="C5" s="159">
        <v>1051</v>
      </c>
      <c r="D5" s="159">
        <v>961</v>
      </c>
      <c r="E5" s="160">
        <v>643</v>
      </c>
      <c r="F5" s="159">
        <v>746</v>
      </c>
      <c r="G5" s="159">
        <v>849</v>
      </c>
      <c r="H5" s="159">
        <v>959</v>
      </c>
      <c r="I5" s="159">
        <v>1081</v>
      </c>
      <c r="J5" s="159">
        <v>1214</v>
      </c>
      <c r="K5" s="155"/>
      <c r="L5" s="155"/>
      <c r="M5" s="59"/>
      <c r="N5" s="59"/>
      <c r="O5" s="59"/>
      <c r="P5" s="59"/>
      <c r="Q5" s="59"/>
      <c r="R5" s="59"/>
      <c r="S5" s="59"/>
      <c r="T5" s="59"/>
      <c r="U5" s="59"/>
      <c r="V5" s="59"/>
      <c r="W5" s="59"/>
      <c r="X5" s="59"/>
      <c r="Y5" s="59"/>
      <c r="Z5" s="59"/>
    </row>
    <row r="6" spans="1:26">
      <c r="A6" s="156" t="s">
        <v>186</v>
      </c>
      <c r="B6" s="157">
        <v>0.27700000000000002</v>
      </c>
      <c r="C6" s="157">
        <v>0.3</v>
      </c>
      <c r="D6" s="157">
        <v>0.28299999999999997</v>
      </c>
      <c r="E6" s="158">
        <v>0.219</v>
      </c>
      <c r="F6" s="157">
        <v>0.24299999999999999</v>
      </c>
      <c r="G6" s="157">
        <v>0.255</v>
      </c>
      <c r="H6" s="157">
        <v>0.26500000000000001</v>
      </c>
      <c r="I6" s="157">
        <v>0.27500000000000002</v>
      </c>
      <c r="J6" s="157">
        <v>0.28499999999999998</v>
      </c>
      <c r="K6" s="155"/>
      <c r="L6" s="155"/>
      <c r="M6" s="59"/>
      <c r="N6" s="59"/>
      <c r="O6" s="59"/>
      <c r="P6" s="59"/>
      <c r="Q6" s="59"/>
      <c r="R6" s="59"/>
      <c r="S6" s="59"/>
      <c r="T6" s="59"/>
      <c r="U6" s="59"/>
      <c r="V6" s="59"/>
      <c r="W6" s="59"/>
      <c r="X6" s="59"/>
      <c r="Y6" s="59"/>
      <c r="Z6" s="59"/>
    </row>
    <row r="7" spans="1:26">
      <c r="A7" s="155"/>
      <c r="B7" s="159"/>
      <c r="C7" s="159"/>
      <c r="D7" s="159"/>
      <c r="E7" s="160"/>
      <c r="F7" s="159"/>
      <c r="G7" s="159"/>
      <c r="H7" s="159"/>
      <c r="I7" s="159"/>
      <c r="J7" s="159"/>
      <c r="K7" s="155"/>
      <c r="L7" s="155"/>
      <c r="M7" s="59"/>
      <c r="N7" s="59"/>
      <c r="O7" s="59"/>
      <c r="P7" s="59"/>
      <c r="Q7" s="59"/>
      <c r="R7" s="59"/>
      <c r="S7" s="59"/>
      <c r="T7" s="59"/>
      <c r="U7" s="59"/>
      <c r="V7" s="59"/>
      <c r="W7" s="59"/>
      <c r="X7" s="59"/>
      <c r="Y7" s="59"/>
      <c r="Z7" s="59"/>
    </row>
    <row r="8" spans="1:26">
      <c r="A8" s="152" t="s">
        <v>106</v>
      </c>
      <c r="B8" s="159">
        <v>430</v>
      </c>
      <c r="C8" s="159">
        <v>458</v>
      </c>
      <c r="D8" s="159">
        <v>475</v>
      </c>
      <c r="E8" s="160">
        <v>451</v>
      </c>
      <c r="F8" s="159">
        <v>436</v>
      </c>
      <c r="G8" s="159">
        <v>452</v>
      </c>
      <c r="H8" s="159">
        <v>474</v>
      </c>
      <c r="I8" s="159">
        <v>499</v>
      </c>
      <c r="J8" s="159">
        <v>528</v>
      </c>
      <c r="K8" s="155"/>
      <c r="L8" s="155"/>
      <c r="M8" s="59"/>
      <c r="N8" s="59"/>
      <c r="O8" s="59"/>
      <c r="P8" s="59"/>
      <c r="Q8" s="59"/>
      <c r="R8" s="59"/>
      <c r="S8" s="59"/>
      <c r="T8" s="59"/>
      <c r="U8" s="59"/>
      <c r="V8" s="59"/>
      <c r="W8" s="59"/>
      <c r="X8" s="59"/>
      <c r="Y8" s="59"/>
      <c r="Z8" s="59"/>
    </row>
    <row r="9" spans="1:26">
      <c r="A9" s="156" t="s">
        <v>186</v>
      </c>
      <c r="B9" s="157">
        <v>0.13300000000000001</v>
      </c>
      <c r="C9" s="157">
        <v>0.13100000000000001</v>
      </c>
      <c r="D9" s="157">
        <v>0.14000000000000001</v>
      </c>
      <c r="E9" s="158">
        <v>0.153</v>
      </c>
      <c r="F9" s="157">
        <v>0.14199999999999999</v>
      </c>
      <c r="G9" s="157">
        <v>0.13600000000000001</v>
      </c>
      <c r="H9" s="157">
        <v>0.13100000000000001</v>
      </c>
      <c r="I9" s="157">
        <v>0.127</v>
      </c>
      <c r="J9" s="157">
        <v>0.124</v>
      </c>
      <c r="K9" s="155"/>
      <c r="L9" s="155"/>
      <c r="M9" s="59"/>
      <c r="N9" s="59"/>
      <c r="O9" s="59"/>
      <c r="P9" s="59"/>
      <c r="Q9" s="59"/>
      <c r="R9" s="59"/>
      <c r="S9" s="59"/>
      <c r="T9" s="59"/>
      <c r="U9" s="59"/>
      <c r="V9" s="59"/>
      <c r="W9" s="59"/>
      <c r="X9" s="59"/>
      <c r="Y9" s="59"/>
      <c r="Z9" s="59"/>
    </row>
    <row r="10" spans="1:26">
      <c r="A10" s="155"/>
      <c r="B10" s="159"/>
      <c r="C10" s="159"/>
      <c r="D10" s="159"/>
      <c r="E10" s="160"/>
      <c r="F10" s="159"/>
      <c r="G10" s="159"/>
      <c r="H10" s="159"/>
      <c r="I10" s="159"/>
      <c r="J10" s="159"/>
      <c r="K10" s="155"/>
      <c r="L10" s="155"/>
      <c r="M10" s="59"/>
      <c r="N10" s="59"/>
      <c r="O10" s="59"/>
      <c r="P10" s="59"/>
      <c r="Q10" s="59"/>
      <c r="R10" s="59"/>
      <c r="S10" s="59"/>
      <c r="T10" s="59"/>
      <c r="U10" s="59"/>
      <c r="V10" s="59"/>
      <c r="W10" s="59"/>
      <c r="X10" s="59"/>
      <c r="Y10" s="59"/>
      <c r="Z10" s="59"/>
    </row>
    <row r="11" spans="1:26">
      <c r="A11" s="152" t="s">
        <v>305</v>
      </c>
      <c r="B11" s="159">
        <v>643</v>
      </c>
      <c r="C11" s="159">
        <v>741</v>
      </c>
      <c r="D11" s="159">
        <v>652</v>
      </c>
      <c r="E11" s="160">
        <v>533</v>
      </c>
      <c r="F11" s="159">
        <v>574</v>
      </c>
      <c r="G11" s="159">
        <v>653</v>
      </c>
      <c r="H11" s="159">
        <v>734</v>
      </c>
      <c r="I11" s="159">
        <v>837</v>
      </c>
      <c r="J11" s="159">
        <v>963</v>
      </c>
      <c r="K11" s="155"/>
      <c r="L11" s="155"/>
      <c r="M11" s="59"/>
      <c r="N11" s="59"/>
      <c r="O11" s="59"/>
      <c r="P11" s="59"/>
      <c r="Q11" s="59"/>
      <c r="R11" s="59"/>
      <c r="S11" s="59"/>
      <c r="T11" s="59"/>
      <c r="U11" s="59"/>
      <c r="V11" s="59"/>
      <c r="W11" s="59"/>
      <c r="X11" s="59"/>
      <c r="Y11" s="59"/>
      <c r="Z11" s="59"/>
    </row>
    <row r="12" spans="1:26">
      <c r="A12" s="156" t="s">
        <v>186</v>
      </c>
      <c r="B12" s="157">
        <v>0.19800000000000001</v>
      </c>
      <c r="C12" s="157">
        <v>0.21099999999999999</v>
      </c>
      <c r="D12" s="157">
        <v>0.192</v>
      </c>
      <c r="E12" s="158">
        <v>0.18099999999999999</v>
      </c>
      <c r="F12" s="157">
        <v>0.187</v>
      </c>
      <c r="G12" s="157">
        <v>0.19600000000000001</v>
      </c>
      <c r="H12" s="157">
        <v>0.20300000000000001</v>
      </c>
      <c r="I12" s="157">
        <v>0.21299999999999999</v>
      </c>
      <c r="J12" s="157">
        <v>0.22600000000000001</v>
      </c>
      <c r="K12" s="155"/>
      <c r="L12" s="155"/>
      <c r="M12" s="59"/>
      <c r="N12" s="59"/>
      <c r="O12" s="59"/>
      <c r="P12" s="59"/>
      <c r="Q12" s="59"/>
      <c r="R12" s="59"/>
      <c r="S12" s="59"/>
      <c r="T12" s="59"/>
      <c r="U12" s="59"/>
      <c r="V12" s="59"/>
      <c r="W12" s="59"/>
      <c r="X12" s="59"/>
      <c r="Y12" s="59"/>
      <c r="Z12" s="59"/>
    </row>
    <row r="13" spans="1:26">
      <c r="A13" s="155"/>
      <c r="B13" s="159"/>
      <c r="C13" s="159"/>
      <c r="D13" s="159"/>
      <c r="E13" s="160"/>
      <c r="F13" s="159"/>
      <c r="G13" s="159"/>
      <c r="H13" s="159"/>
      <c r="I13" s="159"/>
      <c r="J13" s="159"/>
      <c r="K13" s="155"/>
      <c r="L13" s="155"/>
      <c r="M13" s="59"/>
      <c r="N13" s="59"/>
      <c r="O13" s="59"/>
      <c r="P13" s="59"/>
      <c r="Q13" s="59"/>
      <c r="R13" s="59"/>
      <c r="S13" s="59"/>
      <c r="T13" s="59"/>
      <c r="U13" s="59"/>
      <c r="V13" s="59"/>
      <c r="W13" s="59"/>
      <c r="X13" s="59"/>
      <c r="Y13" s="59"/>
      <c r="Z13" s="59"/>
    </row>
    <row r="14" spans="1:26">
      <c r="A14" s="152" t="s">
        <v>148</v>
      </c>
      <c r="B14" s="159">
        <v>145</v>
      </c>
      <c r="C14" s="159">
        <v>144</v>
      </c>
      <c r="D14" s="159">
        <v>141</v>
      </c>
      <c r="E14" s="160">
        <v>166</v>
      </c>
      <c r="F14" s="159">
        <v>181</v>
      </c>
      <c r="G14" s="159">
        <v>197</v>
      </c>
      <c r="H14" s="159">
        <v>210</v>
      </c>
      <c r="I14" s="159">
        <v>220</v>
      </c>
      <c r="J14" s="159">
        <v>230</v>
      </c>
      <c r="K14" s="155"/>
      <c r="L14" s="155"/>
      <c r="M14" s="59"/>
      <c r="N14" s="59"/>
      <c r="O14" s="59"/>
      <c r="P14" s="59"/>
      <c r="Q14" s="59"/>
      <c r="R14" s="59"/>
      <c r="S14" s="59"/>
      <c r="T14" s="59"/>
      <c r="U14" s="59"/>
      <c r="V14" s="59"/>
      <c r="W14" s="59"/>
      <c r="X14" s="59"/>
      <c r="Y14" s="59"/>
      <c r="Z14" s="59"/>
    </row>
    <row r="15" spans="1:26">
      <c r="A15" s="156" t="s">
        <v>186</v>
      </c>
      <c r="B15" s="157">
        <v>4.4999999999999998E-2</v>
      </c>
      <c r="C15" s="157">
        <v>4.1000000000000002E-2</v>
      </c>
      <c r="D15" s="157">
        <v>4.2000000000000003E-2</v>
      </c>
      <c r="E15" s="158">
        <v>5.6000000000000001E-2</v>
      </c>
      <c r="F15" s="157">
        <v>5.8999999999999997E-2</v>
      </c>
      <c r="G15" s="157">
        <v>5.8999999999999997E-2</v>
      </c>
      <c r="H15" s="157">
        <v>5.8000000000000003E-2</v>
      </c>
      <c r="I15" s="157">
        <v>5.6000000000000001E-2</v>
      </c>
      <c r="J15" s="157">
        <v>5.3999999999999999E-2</v>
      </c>
      <c r="K15" s="155"/>
      <c r="L15" s="155"/>
      <c r="M15" s="59"/>
      <c r="N15" s="59"/>
      <c r="O15" s="59"/>
      <c r="P15" s="59"/>
      <c r="Q15" s="59"/>
      <c r="R15" s="59"/>
      <c r="S15" s="59"/>
      <c r="T15" s="59"/>
      <c r="U15" s="59"/>
      <c r="V15" s="59"/>
      <c r="W15" s="59"/>
      <c r="X15" s="59"/>
      <c r="Y15" s="59"/>
      <c r="Z15" s="59"/>
    </row>
    <row r="16" spans="1:26">
      <c r="A16" s="157"/>
      <c r="B16" s="157"/>
      <c r="C16" s="157"/>
      <c r="D16" s="157"/>
      <c r="E16" s="158"/>
      <c r="F16" s="157"/>
      <c r="G16" s="157"/>
      <c r="H16" s="157"/>
      <c r="I16" s="157"/>
      <c r="J16" s="157"/>
      <c r="K16" s="155"/>
      <c r="L16" s="155"/>
      <c r="M16" s="59"/>
      <c r="N16" s="59"/>
      <c r="O16" s="59"/>
      <c r="P16" s="59"/>
      <c r="Q16" s="59"/>
      <c r="R16" s="59"/>
      <c r="S16" s="59"/>
      <c r="T16" s="59"/>
      <c r="U16" s="59"/>
      <c r="V16" s="59"/>
      <c r="W16" s="59"/>
      <c r="X16" s="59"/>
      <c r="Y16" s="59"/>
      <c r="Z16" s="59"/>
    </row>
    <row r="17" spans="1:26">
      <c r="A17" s="152" t="s">
        <v>306</v>
      </c>
      <c r="B17" s="159">
        <v>498</v>
      </c>
      <c r="C17" s="159">
        <v>597</v>
      </c>
      <c r="D17" s="159">
        <v>511</v>
      </c>
      <c r="E17" s="160">
        <v>367</v>
      </c>
      <c r="F17" s="159">
        <v>393</v>
      </c>
      <c r="G17" s="159">
        <v>456</v>
      </c>
      <c r="H17" s="159">
        <v>524</v>
      </c>
      <c r="I17" s="159">
        <v>617</v>
      </c>
      <c r="J17" s="159">
        <v>733</v>
      </c>
      <c r="K17" s="155"/>
      <c r="L17" s="155"/>
      <c r="M17" s="59"/>
      <c r="N17" s="59"/>
      <c r="O17" s="59"/>
      <c r="P17" s="59"/>
      <c r="Q17" s="59"/>
      <c r="R17" s="59"/>
      <c r="S17" s="59"/>
      <c r="T17" s="59"/>
      <c r="U17" s="59"/>
      <c r="V17" s="59"/>
      <c r="W17" s="59"/>
      <c r="X17" s="59"/>
      <c r="Y17" s="59"/>
      <c r="Z17" s="59"/>
    </row>
    <row r="18" spans="1:26">
      <c r="A18" s="156" t="s">
        <v>186</v>
      </c>
      <c r="B18" s="157">
        <v>0.154</v>
      </c>
      <c r="C18" s="157">
        <v>0.17100000000000001</v>
      </c>
      <c r="D18" s="157">
        <v>0.15</v>
      </c>
      <c r="E18" s="158">
        <v>0.125</v>
      </c>
      <c r="F18" s="157">
        <v>0.128</v>
      </c>
      <c r="G18" s="157">
        <v>0.13700000000000001</v>
      </c>
      <c r="H18" s="157">
        <v>0.14499999999999999</v>
      </c>
      <c r="I18" s="157">
        <v>0.157</v>
      </c>
      <c r="J18" s="157">
        <v>0.17199999999999999</v>
      </c>
      <c r="K18" s="155"/>
      <c r="L18" s="155"/>
      <c r="M18" s="59"/>
      <c r="N18" s="59"/>
      <c r="O18" s="59"/>
      <c r="P18" s="59"/>
      <c r="Q18" s="59"/>
      <c r="R18" s="59"/>
      <c r="S18" s="59"/>
      <c r="T18" s="59"/>
      <c r="U18" s="59"/>
      <c r="V18" s="59"/>
      <c r="W18" s="59"/>
      <c r="X18" s="59"/>
      <c r="Y18" s="59"/>
      <c r="Z18" s="59"/>
    </row>
    <row r="19" spans="1:26">
      <c r="A19" s="155"/>
      <c r="B19" s="159"/>
      <c r="C19" s="159"/>
      <c r="D19" s="159"/>
      <c r="E19" s="160"/>
      <c r="F19" s="159"/>
      <c r="G19" s="159"/>
      <c r="H19" s="159"/>
      <c r="I19" s="159"/>
      <c r="J19" s="159"/>
      <c r="K19" s="155"/>
      <c r="L19" s="155"/>
      <c r="M19" s="59"/>
      <c r="N19" s="59"/>
      <c r="O19" s="59"/>
      <c r="P19" s="59"/>
      <c r="Q19" s="59"/>
      <c r="R19" s="59"/>
      <c r="S19" s="59"/>
      <c r="T19" s="59"/>
      <c r="U19" s="59"/>
      <c r="V19" s="59"/>
      <c r="W19" s="59"/>
      <c r="X19" s="59"/>
      <c r="Y19" s="59"/>
      <c r="Z19" s="59"/>
    </row>
    <row r="20" spans="1:26">
      <c r="A20" s="152" t="s">
        <v>307</v>
      </c>
      <c r="B20" s="159">
        <v>14</v>
      </c>
      <c r="C20" s="159">
        <v>14</v>
      </c>
      <c r="D20" s="159">
        <v>31</v>
      </c>
      <c r="E20" s="160">
        <v>54</v>
      </c>
      <c r="F20" s="159">
        <v>50</v>
      </c>
      <c r="G20" s="159">
        <v>45</v>
      </c>
      <c r="H20" s="159">
        <v>40</v>
      </c>
      <c r="I20" s="159">
        <v>35</v>
      </c>
      <c r="J20" s="159">
        <v>30</v>
      </c>
      <c r="K20" s="155"/>
      <c r="L20" s="155"/>
      <c r="M20" s="59"/>
      <c r="N20" s="59"/>
      <c r="O20" s="59"/>
      <c r="P20" s="59"/>
      <c r="Q20" s="59"/>
      <c r="R20" s="59"/>
      <c r="S20" s="59"/>
      <c r="T20" s="59"/>
      <c r="U20" s="59"/>
      <c r="V20" s="59"/>
      <c r="W20" s="59"/>
      <c r="X20" s="59"/>
      <c r="Y20" s="59"/>
      <c r="Z20" s="59"/>
    </row>
    <row r="21" spans="1:26">
      <c r="A21" s="152" t="s">
        <v>308</v>
      </c>
      <c r="B21" s="159">
        <v>512</v>
      </c>
      <c r="C21" s="159">
        <v>606</v>
      </c>
      <c r="D21" s="159">
        <v>499</v>
      </c>
      <c r="E21" s="160">
        <v>302</v>
      </c>
      <c r="F21" s="159">
        <v>343</v>
      </c>
      <c r="G21" s="159">
        <v>411</v>
      </c>
      <c r="H21" s="159">
        <v>484</v>
      </c>
      <c r="I21" s="159">
        <v>582</v>
      </c>
      <c r="J21" s="159">
        <v>703</v>
      </c>
      <c r="K21" s="155"/>
      <c r="L21" s="155"/>
      <c r="M21" s="59"/>
      <c r="N21" s="59"/>
      <c r="O21" s="59"/>
      <c r="P21" s="59"/>
      <c r="Q21" s="59"/>
      <c r="R21" s="59"/>
      <c r="S21" s="59"/>
      <c r="T21" s="59"/>
      <c r="U21" s="59"/>
      <c r="V21" s="59"/>
      <c r="W21" s="59"/>
      <c r="X21" s="59"/>
      <c r="Y21" s="59"/>
      <c r="Z21" s="59"/>
    </row>
    <row r="22" spans="1:26">
      <c r="A22" s="155"/>
      <c r="B22" s="159"/>
      <c r="C22" s="159"/>
      <c r="D22" s="159"/>
      <c r="E22" s="160"/>
      <c r="F22" s="159"/>
      <c r="G22" s="159"/>
      <c r="H22" s="159"/>
      <c r="I22" s="159"/>
      <c r="J22" s="159"/>
      <c r="K22" s="155"/>
      <c r="L22" s="155"/>
      <c r="M22" s="59"/>
      <c r="N22" s="59"/>
      <c r="O22" s="59"/>
      <c r="P22" s="59"/>
      <c r="Q22" s="59"/>
      <c r="R22" s="59"/>
      <c r="S22" s="59"/>
      <c r="T22" s="59"/>
      <c r="U22" s="59"/>
      <c r="V22" s="59"/>
      <c r="W22" s="59"/>
      <c r="X22" s="59"/>
      <c r="Y22" s="59"/>
      <c r="Z22" s="59"/>
    </row>
    <row r="23" spans="1:26">
      <c r="A23" s="152" t="s">
        <v>114</v>
      </c>
      <c r="B23" s="159">
        <v>114</v>
      </c>
      <c r="C23" s="159">
        <v>177</v>
      </c>
      <c r="D23" s="159">
        <v>145</v>
      </c>
      <c r="E23" s="160">
        <v>82</v>
      </c>
      <c r="F23" s="159">
        <v>86</v>
      </c>
      <c r="G23" s="159">
        <v>103</v>
      </c>
      <c r="H23" s="159">
        <v>121</v>
      </c>
      <c r="I23" s="159">
        <v>146</v>
      </c>
      <c r="J23" s="159">
        <v>176</v>
      </c>
      <c r="K23" s="155"/>
      <c r="L23" s="155"/>
      <c r="M23" s="59"/>
      <c r="N23" s="59"/>
      <c r="O23" s="59"/>
      <c r="P23" s="59"/>
      <c r="Q23" s="59"/>
      <c r="R23" s="59"/>
      <c r="S23" s="59"/>
      <c r="T23" s="59"/>
      <c r="U23" s="59"/>
      <c r="V23" s="59"/>
      <c r="W23" s="59"/>
      <c r="X23" s="59"/>
      <c r="Y23" s="59"/>
      <c r="Z23" s="59"/>
    </row>
    <row r="24" spans="1:26">
      <c r="A24" s="152" t="s">
        <v>309</v>
      </c>
      <c r="B24" s="159">
        <v>298</v>
      </c>
      <c r="C24" s="159">
        <v>429</v>
      </c>
      <c r="D24" s="159">
        <v>354</v>
      </c>
      <c r="E24" s="160">
        <v>220</v>
      </c>
      <c r="F24" s="159">
        <v>257</v>
      </c>
      <c r="G24" s="159">
        <v>308</v>
      </c>
      <c r="H24" s="159">
        <v>363</v>
      </c>
      <c r="I24" s="159">
        <v>436</v>
      </c>
      <c r="J24" s="159">
        <v>527</v>
      </c>
      <c r="K24" s="155"/>
      <c r="L24" s="155"/>
      <c r="M24" s="59"/>
      <c r="N24" s="59"/>
      <c r="O24" s="59"/>
      <c r="P24" s="59"/>
      <c r="Q24" s="59"/>
      <c r="R24" s="59"/>
      <c r="S24" s="59"/>
      <c r="T24" s="59"/>
      <c r="U24" s="59"/>
      <c r="V24" s="59"/>
      <c r="W24" s="59"/>
      <c r="X24" s="59"/>
      <c r="Y24" s="59"/>
      <c r="Z24" s="59"/>
    </row>
    <row r="25" spans="1:26">
      <c r="A25" s="155"/>
      <c r="B25" s="155"/>
      <c r="C25" s="155"/>
      <c r="D25" s="155"/>
      <c r="E25" s="161"/>
      <c r="F25" s="155"/>
      <c r="G25" s="155"/>
      <c r="H25" s="155"/>
      <c r="I25" s="155"/>
      <c r="J25" s="155"/>
      <c r="K25" s="155"/>
      <c r="L25" s="155"/>
      <c r="M25" s="59"/>
      <c r="N25" s="59"/>
      <c r="O25" s="59"/>
      <c r="P25" s="59"/>
      <c r="Q25" s="59"/>
      <c r="R25" s="59"/>
      <c r="S25" s="59"/>
      <c r="T25" s="59"/>
      <c r="U25" s="59"/>
      <c r="V25" s="59"/>
      <c r="W25" s="59"/>
      <c r="X25" s="59"/>
      <c r="Y25" s="59"/>
      <c r="Z25" s="59"/>
    </row>
    <row r="26" spans="1:26">
      <c r="A26" s="152" t="s">
        <v>292</v>
      </c>
      <c r="B26" s="162">
        <v>145.4</v>
      </c>
      <c r="C26" s="162">
        <v>143.19999999999999</v>
      </c>
      <c r="D26" s="162">
        <v>141.1</v>
      </c>
      <c r="E26" s="163">
        <v>138.5</v>
      </c>
      <c r="F26" s="162">
        <v>136.9</v>
      </c>
      <c r="G26" s="162">
        <v>135.5</v>
      </c>
      <c r="H26" s="162">
        <v>134.1</v>
      </c>
      <c r="I26" s="162">
        <v>132.80000000000001</v>
      </c>
      <c r="J26" s="162">
        <v>131.5</v>
      </c>
      <c r="K26" s="155"/>
      <c r="L26" s="155"/>
      <c r="M26" s="59"/>
      <c r="N26" s="59"/>
      <c r="O26" s="59"/>
      <c r="P26" s="59"/>
      <c r="Q26" s="59"/>
      <c r="R26" s="59"/>
      <c r="S26" s="59"/>
      <c r="T26" s="59"/>
      <c r="U26" s="59"/>
      <c r="V26" s="59"/>
      <c r="W26" s="59"/>
      <c r="X26" s="59"/>
      <c r="Y26" s="59"/>
      <c r="Z26" s="59"/>
    </row>
    <row r="27" spans="1:26">
      <c r="A27" s="152" t="s">
        <v>123</v>
      </c>
      <c r="B27" s="164">
        <v>2.0499999999999998</v>
      </c>
      <c r="C27" s="164">
        <v>2.99</v>
      </c>
      <c r="D27" s="164">
        <v>2.5099999999999998</v>
      </c>
      <c r="E27" s="165">
        <v>1.59</v>
      </c>
      <c r="F27" s="164">
        <v>1.88</v>
      </c>
      <c r="G27" s="164">
        <v>2.27</v>
      </c>
      <c r="H27" s="164">
        <v>2.71</v>
      </c>
      <c r="I27" s="164">
        <v>3.29</v>
      </c>
      <c r="J27" s="164">
        <v>4.01</v>
      </c>
      <c r="K27" s="155"/>
      <c r="L27" s="155"/>
      <c r="M27" s="59"/>
      <c r="N27" s="59"/>
      <c r="O27" s="59"/>
      <c r="P27" s="59"/>
      <c r="Q27" s="59"/>
      <c r="R27" s="59"/>
      <c r="S27" s="59"/>
      <c r="T27" s="59"/>
      <c r="U27" s="59"/>
      <c r="V27" s="59"/>
      <c r="W27" s="59"/>
      <c r="X27" s="59"/>
      <c r="Y27" s="59"/>
      <c r="Z27" s="59"/>
    </row>
    <row r="28" spans="1:26">
      <c r="A28" s="155"/>
      <c r="B28" s="159"/>
      <c r="C28" s="159"/>
      <c r="D28" s="159"/>
      <c r="E28" s="160"/>
      <c r="F28" s="159"/>
      <c r="G28" s="159"/>
      <c r="H28" s="159"/>
      <c r="I28" s="159"/>
      <c r="J28" s="159"/>
      <c r="K28" s="155"/>
      <c r="L28" s="155"/>
      <c r="M28" s="59"/>
      <c r="N28" s="59"/>
      <c r="O28" s="59"/>
      <c r="P28" s="59"/>
      <c r="Q28" s="59"/>
      <c r="R28" s="59"/>
      <c r="S28" s="59"/>
      <c r="T28" s="59"/>
      <c r="U28" s="59"/>
      <c r="V28" s="59"/>
      <c r="W28" s="59"/>
      <c r="X28" s="59"/>
      <c r="Y28" s="59"/>
      <c r="Z28" s="59"/>
    </row>
    <row r="29" spans="1:26">
      <c r="A29" s="152" t="s">
        <v>289</v>
      </c>
      <c r="B29" s="159">
        <v>264</v>
      </c>
      <c r="C29" s="159">
        <v>215</v>
      </c>
      <c r="D29" s="159">
        <v>130</v>
      </c>
      <c r="E29" s="160">
        <v>-52</v>
      </c>
      <c r="F29" s="159">
        <v>62</v>
      </c>
      <c r="G29" s="159">
        <v>185</v>
      </c>
      <c r="H29" s="159">
        <v>311</v>
      </c>
      <c r="I29" s="159">
        <v>439</v>
      </c>
      <c r="J29" s="159">
        <v>588</v>
      </c>
      <c r="K29" s="155"/>
      <c r="L29" s="155"/>
      <c r="M29" s="59"/>
      <c r="N29" s="59"/>
      <c r="O29" s="59"/>
      <c r="P29" s="59"/>
      <c r="Q29" s="59"/>
      <c r="R29" s="59"/>
      <c r="S29" s="59"/>
      <c r="T29" s="59"/>
      <c r="U29" s="59"/>
      <c r="V29" s="59"/>
      <c r="W29" s="59"/>
      <c r="X29" s="59"/>
      <c r="Y29" s="59"/>
      <c r="Z29" s="59"/>
    </row>
    <row r="30" spans="1:26">
      <c r="A30" s="155"/>
      <c r="B30" s="159"/>
      <c r="C30" s="159"/>
      <c r="D30" s="159"/>
      <c r="E30" s="160"/>
      <c r="F30" s="159"/>
      <c r="G30" s="159"/>
      <c r="H30" s="159"/>
      <c r="I30" s="159"/>
      <c r="J30" s="159"/>
      <c r="K30" s="155"/>
      <c r="L30" s="155"/>
      <c r="M30" s="59"/>
      <c r="N30" s="59"/>
      <c r="O30" s="59"/>
      <c r="P30" s="59"/>
      <c r="Q30" s="59"/>
      <c r="R30" s="59"/>
      <c r="S30" s="59"/>
      <c r="T30" s="59"/>
      <c r="U30" s="59"/>
      <c r="V30" s="59"/>
      <c r="W30" s="59"/>
      <c r="X30" s="59"/>
      <c r="Y30" s="59"/>
      <c r="Z30" s="59"/>
    </row>
    <row r="31" spans="1:26">
      <c r="A31" s="152" t="s">
        <v>310</v>
      </c>
      <c r="B31" s="166">
        <v>-0.5</v>
      </c>
      <c r="C31" s="166">
        <v>-0.6</v>
      </c>
      <c r="D31" s="166">
        <v>-0.5</v>
      </c>
      <c r="E31" s="167">
        <v>0.6</v>
      </c>
      <c r="F31" s="166">
        <v>0.5</v>
      </c>
      <c r="G31" s="166">
        <v>0.1</v>
      </c>
      <c r="H31" s="166">
        <v>0.1</v>
      </c>
      <c r="I31" s="166">
        <v>-0.5</v>
      </c>
      <c r="J31" s="166">
        <v>-1</v>
      </c>
      <c r="K31" s="155"/>
      <c r="L31" s="155"/>
      <c r="M31" s="59"/>
      <c r="N31" s="59"/>
      <c r="O31" s="59"/>
      <c r="P31" s="59"/>
      <c r="Q31" s="59"/>
      <c r="R31" s="59"/>
      <c r="S31" s="59"/>
      <c r="T31" s="59"/>
      <c r="U31" s="59"/>
      <c r="V31" s="59"/>
      <c r="W31" s="59"/>
      <c r="X31" s="59"/>
      <c r="Y31" s="59"/>
      <c r="Z31" s="59"/>
    </row>
    <row r="32" spans="1:26">
      <c r="A32" s="155"/>
      <c r="B32" s="155"/>
      <c r="C32" s="155"/>
      <c r="D32" s="155"/>
      <c r="E32" s="155"/>
      <c r="F32" s="155"/>
      <c r="G32" s="155"/>
      <c r="H32" s="155"/>
      <c r="I32" s="155"/>
      <c r="J32" s="155"/>
      <c r="K32" s="155"/>
      <c r="L32" s="155"/>
      <c r="M32" s="59"/>
      <c r="N32" s="59"/>
      <c r="O32" s="59"/>
      <c r="P32" s="59"/>
      <c r="Q32" s="59"/>
      <c r="R32" s="59"/>
      <c r="S32" s="59"/>
      <c r="T32" s="59"/>
      <c r="U32" s="59"/>
      <c r="V32" s="59"/>
      <c r="W32" s="59"/>
      <c r="X32" s="59"/>
      <c r="Y32" s="59"/>
      <c r="Z32" s="59"/>
    </row>
    <row r="33" spans="1:26">
      <c r="A33" s="155"/>
      <c r="B33" s="155"/>
      <c r="C33" s="155"/>
      <c r="D33" s="155"/>
      <c r="E33" s="155"/>
      <c r="F33" s="155"/>
      <c r="G33" s="155"/>
      <c r="H33" s="155"/>
      <c r="I33" s="155"/>
      <c r="J33" s="155"/>
      <c r="K33" s="155"/>
      <c r="L33" s="155"/>
      <c r="M33" s="59"/>
      <c r="N33" s="59"/>
      <c r="O33" s="59"/>
      <c r="P33" s="59"/>
      <c r="Q33" s="59"/>
      <c r="R33" s="59"/>
      <c r="S33" s="59"/>
      <c r="T33" s="59"/>
      <c r="U33" s="59"/>
      <c r="V33" s="59"/>
      <c r="W33" s="59"/>
      <c r="X33" s="59"/>
      <c r="Y33" s="59"/>
      <c r="Z33" s="59"/>
    </row>
    <row r="34" spans="1:26">
      <c r="A34" s="155"/>
      <c r="B34" s="155"/>
      <c r="C34" s="155"/>
      <c r="D34" s="155"/>
      <c r="E34" s="155"/>
      <c r="F34" s="155"/>
      <c r="G34" s="155"/>
      <c r="H34" s="155"/>
      <c r="I34" s="155"/>
      <c r="J34" s="155"/>
      <c r="K34" s="155"/>
      <c r="L34" s="155"/>
      <c r="M34" s="59"/>
      <c r="N34" s="59"/>
      <c r="O34" s="59"/>
      <c r="P34" s="59"/>
      <c r="Q34" s="59"/>
      <c r="R34" s="59"/>
      <c r="S34" s="59"/>
      <c r="T34" s="59"/>
      <c r="U34" s="59"/>
      <c r="V34" s="59"/>
      <c r="W34" s="59"/>
      <c r="X34" s="59"/>
      <c r="Y34" s="59"/>
      <c r="Z34" s="59"/>
    </row>
    <row r="35" spans="1:26">
      <c r="A35" s="155"/>
      <c r="B35" s="155"/>
      <c r="C35" s="155"/>
      <c r="D35" s="155"/>
      <c r="E35" s="155"/>
      <c r="F35" s="155"/>
      <c r="G35" s="155"/>
      <c r="H35" s="155"/>
      <c r="I35" s="155"/>
      <c r="J35" s="155"/>
      <c r="K35" s="155"/>
      <c r="L35" s="155"/>
      <c r="M35" s="59"/>
      <c r="N35" s="59"/>
      <c r="O35" s="59"/>
      <c r="P35" s="59"/>
      <c r="Q35" s="59"/>
      <c r="R35" s="59"/>
      <c r="S35" s="59"/>
      <c r="T35" s="59"/>
      <c r="U35" s="59"/>
      <c r="V35" s="59"/>
      <c r="W35" s="59"/>
      <c r="X35" s="59"/>
      <c r="Y35" s="59"/>
      <c r="Z35" s="59"/>
    </row>
    <row r="36" spans="1:26">
      <c r="A36" s="155"/>
      <c r="B36" s="155"/>
      <c r="C36" s="155"/>
      <c r="D36" s="155"/>
      <c r="E36" s="155"/>
      <c r="F36" s="155"/>
      <c r="G36" s="155"/>
      <c r="H36" s="155"/>
      <c r="I36" s="155"/>
      <c r="J36" s="155"/>
      <c r="K36" s="155"/>
      <c r="L36" s="155"/>
      <c r="M36" s="59"/>
      <c r="N36" s="59"/>
      <c r="O36" s="59"/>
      <c r="P36" s="59"/>
      <c r="Q36" s="59"/>
      <c r="R36" s="59"/>
      <c r="S36" s="59"/>
      <c r="T36" s="59"/>
      <c r="U36" s="59"/>
      <c r="V36" s="59"/>
      <c r="W36" s="59"/>
      <c r="X36" s="59"/>
      <c r="Y36" s="59"/>
      <c r="Z36" s="59"/>
    </row>
    <row r="37" spans="1:26">
      <c r="A37" s="155"/>
      <c r="B37" s="155"/>
      <c r="C37" s="155"/>
      <c r="D37" s="155"/>
      <c r="E37" s="155"/>
      <c r="F37" s="155"/>
      <c r="G37" s="155"/>
      <c r="H37" s="155"/>
      <c r="I37" s="155"/>
      <c r="J37" s="155"/>
      <c r="K37" s="155"/>
      <c r="L37" s="155"/>
      <c r="M37" s="59"/>
      <c r="N37" s="59"/>
      <c r="O37" s="59"/>
      <c r="P37" s="59"/>
      <c r="Q37" s="59"/>
      <c r="R37" s="59"/>
      <c r="S37" s="59"/>
      <c r="T37" s="59"/>
      <c r="U37" s="59"/>
      <c r="V37" s="59"/>
      <c r="W37" s="59"/>
      <c r="X37" s="59"/>
      <c r="Y37" s="59"/>
      <c r="Z37" s="59"/>
    </row>
    <row r="38" spans="1:26">
      <c r="A38" s="155"/>
      <c r="B38" s="155"/>
      <c r="C38" s="155"/>
      <c r="D38" s="155"/>
      <c r="E38" s="155"/>
      <c r="F38" s="155"/>
      <c r="G38" s="155"/>
      <c r="H38" s="155"/>
      <c r="I38" s="155"/>
      <c r="J38" s="155"/>
      <c r="K38" s="155"/>
      <c r="L38" s="155"/>
      <c r="M38" s="59"/>
      <c r="N38" s="59"/>
      <c r="O38" s="59"/>
      <c r="P38" s="59"/>
      <c r="Q38" s="59"/>
      <c r="R38" s="59"/>
      <c r="S38" s="59"/>
      <c r="T38" s="59"/>
      <c r="U38" s="59"/>
      <c r="V38" s="59"/>
      <c r="W38" s="59"/>
      <c r="X38" s="59"/>
      <c r="Y38" s="59"/>
      <c r="Z38" s="59"/>
    </row>
    <row r="39" spans="1:26">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spans="1:26">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spans="1:26">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spans="1:26">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spans="1:26">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spans="1:26">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spans="1:2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spans="1:26">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spans="1:26">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spans="1:26">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spans="1:26">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spans="1:26">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spans="1:26">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spans="1:26">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spans="1:26">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spans="1:26">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spans="1:2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spans="1:26">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spans="1:26">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spans="1:26">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spans="1:26">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spans="1:26">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spans="1:26">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spans="1:26">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spans="1:26">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spans="1:26">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spans="1:26">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spans="1:26">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spans="1:26">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spans="1:26">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spans="1:2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spans="1:26">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spans="1:26">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spans="1:26">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spans="1:26">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spans="1:26">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spans="1:26">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spans="1:26">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spans="1:26">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spans="1:26">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spans="1:2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spans="1:26">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26">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spans="1:26">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spans="1:26">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spans="1:26">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spans="1:26">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spans="1:26">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spans="1:26">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spans="1:26">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spans="1:2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spans="1:26">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spans="1:26">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spans="1:26">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spans="1:26">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spans="1:26">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spans="1:26">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spans="1:26">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spans="1:26">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spans="1:26">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spans="1:26">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spans="1:26">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26">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spans="1:26">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spans="1:26">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spans="1:26">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spans="1:26">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spans="1:26">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spans="1:26">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spans="1:26">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spans="1:26">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spans="1:26">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spans="1:2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spans="1:26">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spans="1:26">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spans="1:26">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spans="1:26">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spans="1:26">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spans="1:26">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spans="1:26">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spans="1:26">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spans="1:26">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spans="1:2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spans="1:26">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spans="1:26">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spans="1:26">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spans="1:26">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spans="1:26">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spans="1:26">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spans="1:26">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spans="1:26">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spans="1:26">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spans="1:26">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spans="1:26">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spans="1:2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1:26">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spans="1:2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spans="1:26">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spans="1:26">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spans="1:26">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spans="1:26">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019"/>
  <sheetViews>
    <sheetView workbookViewId="0"/>
  </sheetViews>
  <sheetFormatPr baseColWidth="10" defaultColWidth="12.6640625" defaultRowHeight="15" customHeight="1"/>
  <cols>
    <col min="1" max="1" width="15.1640625" customWidth="1"/>
    <col min="2" max="2" width="21.6640625" customWidth="1"/>
  </cols>
  <sheetData>
    <row r="1" spans="1:2">
      <c r="A1" s="168" t="s">
        <v>182</v>
      </c>
      <c r="B1" s="168" t="s">
        <v>311</v>
      </c>
    </row>
    <row r="2" spans="1:2">
      <c r="A2" s="169">
        <v>46120</v>
      </c>
      <c r="B2" s="170">
        <v>20.52</v>
      </c>
    </row>
    <row r="3" spans="1:2">
      <c r="A3" s="171">
        <v>46119</v>
      </c>
      <c r="B3" s="170">
        <v>18.98</v>
      </c>
    </row>
    <row r="4" spans="1:2">
      <c r="A4" s="169">
        <v>46118</v>
      </c>
      <c r="B4" s="170">
        <v>18.760000000000002</v>
      </c>
    </row>
    <row r="5" spans="1:2">
      <c r="A5" s="169">
        <v>46114</v>
      </c>
      <c r="B5" s="170">
        <v>18.579999999999998</v>
      </c>
    </row>
    <row r="6" spans="1:2">
      <c r="A6" s="169">
        <v>46113</v>
      </c>
      <c r="B6" s="170">
        <v>18.41</v>
      </c>
    </row>
    <row r="7" spans="1:2">
      <c r="A7" s="169">
        <v>46112</v>
      </c>
      <c r="B7" s="170">
        <v>18</v>
      </c>
    </row>
    <row r="8" spans="1:2">
      <c r="A8" s="169">
        <v>46111</v>
      </c>
      <c r="B8" s="170">
        <v>16.559999999999999</v>
      </c>
    </row>
    <row r="9" spans="1:2">
      <c r="A9" s="169">
        <v>46108</v>
      </c>
      <c r="B9" s="170">
        <v>17.02</v>
      </c>
    </row>
    <row r="10" spans="1:2">
      <c r="A10" s="169">
        <v>46107</v>
      </c>
      <c r="B10" s="170">
        <v>17.47</v>
      </c>
    </row>
    <row r="11" spans="1:2">
      <c r="A11" s="169">
        <v>46106</v>
      </c>
      <c r="B11" s="170">
        <v>18.29</v>
      </c>
    </row>
    <row r="12" spans="1:2">
      <c r="A12" s="169">
        <v>46105</v>
      </c>
      <c r="B12" s="170">
        <v>18.260000000000002</v>
      </c>
    </row>
    <row r="13" spans="1:2">
      <c r="A13" s="169">
        <v>46104</v>
      </c>
      <c r="B13" s="170">
        <v>17.46</v>
      </c>
    </row>
    <row r="14" spans="1:2">
      <c r="A14" s="169">
        <v>46101</v>
      </c>
      <c r="B14" s="170">
        <v>16.649999999999999</v>
      </c>
    </row>
    <row r="15" spans="1:2">
      <c r="A15" s="169">
        <v>46100</v>
      </c>
      <c r="B15" s="170">
        <v>17.73</v>
      </c>
    </row>
    <row r="16" spans="1:2">
      <c r="A16" s="169">
        <v>46099</v>
      </c>
      <c r="B16" s="170">
        <v>17.489999999999998</v>
      </c>
    </row>
    <row r="17" spans="1:2">
      <c r="A17" s="169">
        <v>46098</v>
      </c>
      <c r="B17" s="170">
        <v>17.68</v>
      </c>
    </row>
    <row r="18" spans="1:2">
      <c r="A18" s="169">
        <v>46097</v>
      </c>
      <c r="B18" s="170">
        <v>17.38</v>
      </c>
    </row>
    <row r="19" spans="1:2">
      <c r="A19" s="169">
        <v>46094</v>
      </c>
      <c r="B19" s="170">
        <v>17.23</v>
      </c>
    </row>
    <row r="20" spans="1:2">
      <c r="A20" s="169">
        <v>46093</v>
      </c>
      <c r="B20" s="172"/>
    </row>
    <row r="21" spans="1:2">
      <c r="A21" s="169">
        <v>46093</v>
      </c>
      <c r="B21" s="170">
        <v>17.149999999999999</v>
      </c>
    </row>
    <row r="22" spans="1:2">
      <c r="A22" s="169">
        <v>46092</v>
      </c>
      <c r="B22" s="170">
        <v>17.5</v>
      </c>
    </row>
    <row r="23" spans="1:2">
      <c r="A23" s="169">
        <v>46091</v>
      </c>
      <c r="B23" s="170">
        <v>17.309999999999999</v>
      </c>
    </row>
    <row r="24" spans="1:2">
      <c r="A24" s="169">
        <v>46090</v>
      </c>
      <c r="B24" s="170">
        <v>16.79</v>
      </c>
    </row>
    <row r="25" spans="1:2">
      <c r="A25" s="169">
        <v>46087</v>
      </c>
      <c r="B25" s="170">
        <v>16.690000000000001</v>
      </c>
    </row>
    <row r="26" spans="1:2">
      <c r="A26" s="169">
        <v>46086</v>
      </c>
      <c r="B26" s="170">
        <v>17.13</v>
      </c>
    </row>
    <row r="27" spans="1:2">
      <c r="A27" s="169">
        <v>46085</v>
      </c>
      <c r="B27" s="170">
        <v>17.78</v>
      </c>
    </row>
    <row r="28" spans="1:2">
      <c r="A28" s="169">
        <v>46084</v>
      </c>
      <c r="B28" s="170">
        <v>17.95</v>
      </c>
    </row>
    <row r="29" spans="1:2">
      <c r="A29" s="169">
        <v>46083</v>
      </c>
      <c r="B29" s="170">
        <v>19.149999999999999</v>
      </c>
    </row>
    <row r="30" spans="1:2">
      <c r="A30" s="169">
        <v>46080</v>
      </c>
      <c r="B30" s="170">
        <v>18.72</v>
      </c>
    </row>
    <row r="31" spans="1:2">
      <c r="A31" s="169">
        <v>46079</v>
      </c>
      <c r="B31" s="170">
        <v>19.45</v>
      </c>
    </row>
    <row r="32" spans="1:2">
      <c r="A32" s="169">
        <v>46078</v>
      </c>
      <c r="B32" s="170">
        <v>20.11</v>
      </c>
    </row>
    <row r="33" spans="1:2">
      <c r="A33" s="169">
        <v>46077</v>
      </c>
      <c r="B33" s="170">
        <v>19.61</v>
      </c>
    </row>
    <row r="34" spans="1:2">
      <c r="A34" s="169">
        <v>46076</v>
      </c>
      <c r="B34" s="170">
        <v>19.32</v>
      </c>
    </row>
    <row r="35" spans="1:2">
      <c r="A35" s="169">
        <v>46073</v>
      </c>
      <c r="B35" s="170">
        <v>19.670000000000002</v>
      </c>
    </row>
    <row r="36" spans="1:2">
      <c r="A36" s="169">
        <v>46072</v>
      </c>
      <c r="B36" s="170">
        <v>19.71</v>
      </c>
    </row>
    <row r="37" spans="1:2">
      <c r="A37" s="169">
        <v>46071</v>
      </c>
      <c r="B37" s="170">
        <v>19.399999999999999</v>
      </c>
    </row>
    <row r="38" spans="1:2">
      <c r="A38" s="169">
        <v>46070</v>
      </c>
      <c r="B38" s="170">
        <v>18.690000000000001</v>
      </c>
    </row>
    <row r="39" spans="1:2">
      <c r="A39" s="169">
        <v>46066</v>
      </c>
      <c r="B39" s="170">
        <v>18.88</v>
      </c>
    </row>
    <row r="40" spans="1:2">
      <c r="A40" s="169">
        <v>46065</v>
      </c>
      <c r="B40" s="170">
        <v>19.38</v>
      </c>
    </row>
    <row r="41" spans="1:2">
      <c r="A41" s="169">
        <v>46064</v>
      </c>
      <c r="B41" s="170">
        <v>20.190000000000001</v>
      </c>
    </row>
    <row r="42" spans="1:2">
      <c r="A42" s="169">
        <v>46063</v>
      </c>
      <c r="B42" s="170">
        <v>19.36</v>
      </c>
    </row>
    <row r="43" spans="1:2">
      <c r="A43" s="169">
        <v>46062</v>
      </c>
      <c r="B43" s="170">
        <v>19.48</v>
      </c>
    </row>
    <row r="44" spans="1:2">
      <c r="A44" s="169">
        <v>46059</v>
      </c>
      <c r="B44" s="170">
        <v>19.95</v>
      </c>
    </row>
    <row r="45" spans="1:2">
      <c r="A45" s="169">
        <v>46058</v>
      </c>
      <c r="B45" s="170">
        <v>19.649999999999999</v>
      </c>
    </row>
    <row r="46" spans="1:2">
      <c r="A46" s="169">
        <v>46057</v>
      </c>
      <c r="B46" s="170">
        <v>19.86</v>
      </c>
    </row>
    <row r="47" spans="1:2">
      <c r="A47" s="169">
        <v>46056</v>
      </c>
      <c r="B47" s="170">
        <v>20.74</v>
      </c>
    </row>
    <row r="48" spans="1:2">
      <c r="A48" s="169">
        <v>46055</v>
      </c>
      <c r="B48" s="170">
        <v>20.67</v>
      </c>
    </row>
    <row r="49" spans="1:2">
      <c r="A49" s="169">
        <v>46052</v>
      </c>
      <c r="B49" s="170">
        <v>20.149999999999999</v>
      </c>
    </row>
    <row r="50" spans="1:2">
      <c r="A50" s="169">
        <v>46051</v>
      </c>
      <c r="B50" s="170">
        <v>20.170000000000002</v>
      </c>
    </row>
    <row r="51" spans="1:2">
      <c r="A51" s="169">
        <v>46050</v>
      </c>
      <c r="B51" s="170">
        <v>19.27</v>
      </c>
    </row>
    <row r="52" spans="1:2">
      <c r="A52" s="169">
        <v>46049</v>
      </c>
      <c r="B52" s="170">
        <v>18.48</v>
      </c>
    </row>
    <row r="53" spans="1:2">
      <c r="A53" s="169">
        <v>46048</v>
      </c>
      <c r="B53" s="170">
        <v>18.03</v>
      </c>
    </row>
    <row r="54" spans="1:2">
      <c r="A54" s="169">
        <v>46045</v>
      </c>
      <c r="B54" s="170">
        <v>18.45</v>
      </c>
    </row>
    <row r="55" spans="1:2">
      <c r="A55" s="169">
        <v>46044</v>
      </c>
      <c r="B55" s="170">
        <v>19.079999999999998</v>
      </c>
    </row>
    <row r="56" spans="1:2">
      <c r="A56" s="169">
        <v>46043</v>
      </c>
      <c r="B56" s="170">
        <v>19.05</v>
      </c>
    </row>
    <row r="57" spans="1:2">
      <c r="A57" s="169">
        <v>46042</v>
      </c>
      <c r="B57" s="170">
        <v>17.86</v>
      </c>
    </row>
    <row r="58" spans="1:2">
      <c r="A58" s="169">
        <v>46038</v>
      </c>
      <c r="B58" s="170">
        <v>18.29</v>
      </c>
    </row>
    <row r="59" spans="1:2">
      <c r="A59" s="169">
        <v>46037</v>
      </c>
      <c r="B59" s="170">
        <v>17.87</v>
      </c>
    </row>
    <row r="60" spans="1:2">
      <c r="A60" s="169">
        <v>46036</v>
      </c>
      <c r="B60" s="170">
        <v>17.05</v>
      </c>
    </row>
    <row r="61" spans="1:2">
      <c r="A61" s="169">
        <v>46035</v>
      </c>
      <c r="B61" s="170">
        <v>16</v>
      </c>
    </row>
    <row r="62" spans="1:2">
      <c r="A62" s="169">
        <v>46034</v>
      </c>
      <c r="B62" s="170">
        <v>16.079999999999998</v>
      </c>
    </row>
    <row r="63" spans="1:2">
      <c r="A63" s="169">
        <v>46031</v>
      </c>
      <c r="B63" s="170">
        <v>16.190000000000001</v>
      </c>
    </row>
    <row r="64" spans="1:2">
      <c r="A64" s="169">
        <v>46030</v>
      </c>
      <c r="B64" s="170">
        <v>16.079999999999998</v>
      </c>
    </row>
    <row r="65" spans="1:2">
      <c r="A65" s="169">
        <v>46029</v>
      </c>
      <c r="B65" s="170">
        <v>16.2</v>
      </c>
    </row>
    <row r="66" spans="1:2">
      <c r="A66" s="169">
        <v>46028</v>
      </c>
      <c r="B66" s="170">
        <v>16.559999999999999</v>
      </c>
    </row>
    <row r="67" spans="1:2">
      <c r="A67" s="169">
        <v>46027</v>
      </c>
      <c r="B67" s="170">
        <v>15.42</v>
      </c>
    </row>
    <row r="68" spans="1:2">
      <c r="A68" s="169">
        <v>46024</v>
      </c>
      <c r="B68" s="170">
        <v>15.29</v>
      </c>
    </row>
    <row r="69" spans="1:2">
      <c r="A69" s="169">
        <v>46022</v>
      </c>
      <c r="B69" s="170">
        <v>14.49</v>
      </c>
    </row>
    <row r="70" spans="1:2">
      <c r="A70" s="169">
        <v>46021</v>
      </c>
      <c r="B70" s="170">
        <v>14.78</v>
      </c>
    </row>
    <row r="71" spans="1:2">
      <c r="A71" s="169">
        <v>46020</v>
      </c>
      <c r="B71" s="170">
        <v>14.9</v>
      </c>
    </row>
    <row r="72" spans="1:2">
      <c r="A72" s="169">
        <v>46017</v>
      </c>
      <c r="B72" s="170">
        <v>15.01</v>
      </c>
    </row>
    <row r="73" spans="1:2">
      <c r="A73" s="169">
        <v>46015</v>
      </c>
      <c r="B73" s="170">
        <v>15.02</v>
      </c>
    </row>
    <row r="74" spans="1:2">
      <c r="A74" s="169">
        <v>46014</v>
      </c>
      <c r="B74" s="170">
        <v>14.96</v>
      </c>
    </row>
    <row r="75" spans="1:2">
      <c r="A75" s="169">
        <v>46013</v>
      </c>
      <c r="B75" s="170">
        <v>14.93</v>
      </c>
    </row>
    <row r="76" spans="1:2">
      <c r="A76" s="169">
        <v>46010</v>
      </c>
      <c r="B76" s="170">
        <v>14.87</v>
      </c>
    </row>
    <row r="77" spans="1:2">
      <c r="A77" s="169">
        <v>46009</v>
      </c>
      <c r="B77" s="170">
        <v>14.82</v>
      </c>
    </row>
    <row r="78" spans="1:2">
      <c r="A78" s="169">
        <v>46008</v>
      </c>
      <c r="B78" s="170">
        <v>14.57</v>
      </c>
    </row>
    <row r="79" spans="1:2">
      <c r="A79" s="169">
        <v>46007</v>
      </c>
      <c r="B79" s="170">
        <v>14.88</v>
      </c>
    </row>
    <row r="80" spans="1:2">
      <c r="A80" s="169">
        <v>46006</v>
      </c>
      <c r="B80" s="170">
        <v>15.15</v>
      </c>
    </row>
    <row r="81" spans="1:2">
      <c r="A81" s="169">
        <v>46003</v>
      </c>
      <c r="B81" s="170">
        <v>15.33</v>
      </c>
    </row>
    <row r="82" spans="1:2">
      <c r="A82" s="169">
        <v>46002</v>
      </c>
      <c r="B82" s="170">
        <v>15.84</v>
      </c>
    </row>
    <row r="83" spans="1:2">
      <c r="A83" s="169">
        <v>46001</v>
      </c>
      <c r="B83" s="170">
        <v>15.8</v>
      </c>
    </row>
    <row r="84" spans="1:2">
      <c r="A84" s="169">
        <v>46000</v>
      </c>
      <c r="B84" s="170">
        <v>15.35</v>
      </c>
    </row>
    <row r="85" spans="1:2">
      <c r="A85" s="169">
        <v>45999</v>
      </c>
      <c r="B85" s="170">
        <v>15.28</v>
      </c>
    </row>
    <row r="86" spans="1:2">
      <c r="A86" s="169">
        <v>45996</v>
      </c>
      <c r="B86" s="170">
        <v>15.2</v>
      </c>
    </row>
    <row r="87" spans="1:2">
      <c r="A87" s="169">
        <v>45995</v>
      </c>
      <c r="B87" s="170">
        <v>15.15</v>
      </c>
    </row>
    <row r="88" spans="1:2">
      <c r="A88" s="169">
        <v>45994</v>
      </c>
      <c r="B88" s="172"/>
    </row>
    <row r="89" spans="1:2">
      <c r="A89" s="169">
        <v>45994</v>
      </c>
      <c r="B89" s="170">
        <v>14.95</v>
      </c>
    </row>
    <row r="90" spans="1:2">
      <c r="A90" s="169">
        <v>45993</v>
      </c>
      <c r="B90" s="170">
        <v>14.05</v>
      </c>
    </row>
    <row r="91" spans="1:2">
      <c r="A91" s="169">
        <v>45992</v>
      </c>
      <c r="B91" s="170">
        <v>13.75</v>
      </c>
    </row>
    <row r="92" spans="1:2">
      <c r="A92" s="169">
        <v>45989</v>
      </c>
      <c r="B92" s="170">
        <v>13.67</v>
      </c>
    </row>
    <row r="93" spans="1:2">
      <c r="A93" s="169">
        <v>45987</v>
      </c>
      <c r="B93" s="170">
        <v>13.48</v>
      </c>
    </row>
    <row r="94" spans="1:2">
      <c r="A94" s="169">
        <v>45986</v>
      </c>
      <c r="B94" s="170">
        <v>13.3</v>
      </c>
    </row>
    <row r="95" spans="1:2">
      <c r="A95" s="169">
        <v>45985</v>
      </c>
      <c r="B95" s="170">
        <v>12.85</v>
      </c>
    </row>
    <row r="96" spans="1:2">
      <c r="A96" s="169">
        <v>45982</v>
      </c>
      <c r="B96" s="170">
        <v>12.51</v>
      </c>
    </row>
    <row r="97" spans="1:2">
      <c r="A97" s="169">
        <v>45981</v>
      </c>
      <c r="B97" s="170">
        <v>11.82</v>
      </c>
    </row>
    <row r="98" spans="1:2">
      <c r="A98" s="169">
        <v>45980</v>
      </c>
      <c r="B98" s="170">
        <v>12.3</v>
      </c>
    </row>
    <row r="99" spans="1:2">
      <c r="A99" s="169">
        <v>45979</v>
      </c>
      <c r="B99" s="170">
        <v>12.42</v>
      </c>
    </row>
    <row r="100" spans="1:2">
      <c r="A100" s="169">
        <v>45978</v>
      </c>
      <c r="B100" s="170">
        <v>12.65</v>
      </c>
    </row>
    <row r="101" spans="1:2">
      <c r="A101" s="169">
        <v>45975</v>
      </c>
      <c r="B101" s="170">
        <v>13.24</v>
      </c>
    </row>
    <row r="102" spans="1:2">
      <c r="A102" s="169">
        <v>45974</v>
      </c>
      <c r="B102" s="170">
        <v>13.62</v>
      </c>
    </row>
    <row r="103" spans="1:2">
      <c r="A103" s="169">
        <v>45973</v>
      </c>
      <c r="B103" s="170">
        <v>14.19</v>
      </c>
    </row>
    <row r="104" spans="1:2">
      <c r="A104" s="169">
        <v>45972</v>
      </c>
      <c r="B104" s="170">
        <v>14.23</v>
      </c>
    </row>
    <row r="105" spans="1:2">
      <c r="A105" s="169">
        <v>45971</v>
      </c>
      <c r="B105" s="170">
        <v>14.68</v>
      </c>
    </row>
    <row r="106" spans="1:2">
      <c r="A106" s="169">
        <v>45968</v>
      </c>
      <c r="B106" s="170">
        <v>14.37</v>
      </c>
    </row>
    <row r="107" spans="1:2">
      <c r="A107" s="169">
        <v>45967</v>
      </c>
      <c r="B107" s="170">
        <v>14.58</v>
      </c>
    </row>
    <row r="108" spans="1:2">
      <c r="A108" s="169">
        <v>45966</v>
      </c>
      <c r="B108" s="170">
        <v>15.32</v>
      </c>
    </row>
    <row r="109" spans="1:2">
      <c r="A109" s="169">
        <v>45965</v>
      </c>
      <c r="B109" s="170">
        <v>16.100000000000001</v>
      </c>
    </row>
    <row r="110" spans="1:2">
      <c r="A110" s="169">
        <v>45964</v>
      </c>
      <c r="B110" s="170">
        <v>16.78</v>
      </c>
    </row>
    <row r="111" spans="1:2">
      <c r="A111" s="169">
        <v>45961</v>
      </c>
      <c r="B111" s="170">
        <v>16.98</v>
      </c>
    </row>
    <row r="112" spans="1:2">
      <c r="A112" s="169">
        <v>45960</v>
      </c>
      <c r="B112" s="170">
        <v>16.88</v>
      </c>
    </row>
    <row r="113" spans="1:2">
      <c r="A113" s="169">
        <v>45959</v>
      </c>
      <c r="B113" s="170">
        <v>17.28</v>
      </c>
    </row>
    <row r="114" spans="1:2">
      <c r="A114" s="169">
        <v>45958</v>
      </c>
      <c r="B114" s="170">
        <v>17.489999999999998</v>
      </c>
    </row>
    <row r="115" spans="1:2">
      <c r="A115" s="169">
        <v>45957</v>
      </c>
      <c r="B115" s="170">
        <v>17.34</v>
      </c>
    </row>
    <row r="116" spans="1:2">
      <c r="A116" s="169">
        <v>45954</v>
      </c>
      <c r="B116" s="170">
        <v>16.84</v>
      </c>
    </row>
    <row r="117" spans="1:2">
      <c r="A117" s="169">
        <v>45953</v>
      </c>
      <c r="B117" s="170">
        <v>16.93</v>
      </c>
    </row>
    <row r="118" spans="1:2">
      <c r="A118" s="169">
        <v>45952</v>
      </c>
      <c r="B118" s="170">
        <v>16.63</v>
      </c>
    </row>
    <row r="119" spans="1:2">
      <c r="A119" s="169">
        <v>45951</v>
      </c>
      <c r="B119" s="170">
        <v>17.22</v>
      </c>
    </row>
    <row r="120" spans="1:2">
      <c r="A120" s="169">
        <v>45950</v>
      </c>
      <c r="B120" s="170">
        <v>17.5</v>
      </c>
    </row>
    <row r="121" spans="1:2">
      <c r="A121" s="169">
        <v>45947</v>
      </c>
      <c r="B121" s="170">
        <v>16.489999999999998</v>
      </c>
    </row>
    <row r="122" spans="1:2">
      <c r="A122" s="169">
        <v>45946</v>
      </c>
      <c r="B122" s="170">
        <v>16.920000000000002</v>
      </c>
    </row>
    <row r="123" spans="1:2">
      <c r="A123" s="169">
        <v>45945</v>
      </c>
      <c r="B123" s="170">
        <v>16.97</v>
      </c>
    </row>
    <row r="124" spans="1:2">
      <c r="A124" s="169">
        <v>45944</v>
      </c>
      <c r="B124" s="170">
        <v>16.04</v>
      </c>
    </row>
    <row r="125" spans="1:2">
      <c r="A125" s="169">
        <v>45943</v>
      </c>
      <c r="B125" s="170">
        <v>15.88</v>
      </c>
    </row>
    <row r="126" spans="1:2">
      <c r="A126" s="169">
        <v>45940</v>
      </c>
      <c r="B126" s="170">
        <v>14.66</v>
      </c>
    </row>
    <row r="127" spans="1:2">
      <c r="A127" s="169">
        <v>45939</v>
      </c>
      <c r="B127" s="170">
        <v>15.89</v>
      </c>
    </row>
    <row r="128" spans="1:2">
      <c r="A128" s="169">
        <v>45938</v>
      </c>
      <c r="B128" s="170">
        <v>16.059999999999999</v>
      </c>
    </row>
    <row r="129" spans="1:2">
      <c r="A129" s="169">
        <v>45937</v>
      </c>
      <c r="B129" s="170">
        <v>15.37</v>
      </c>
    </row>
    <row r="130" spans="1:2">
      <c r="A130" s="169">
        <v>45936</v>
      </c>
      <c r="B130" s="170">
        <v>16.079999999999998</v>
      </c>
    </row>
    <row r="131" spans="1:2">
      <c r="A131" s="169">
        <v>45933</v>
      </c>
      <c r="B131" s="170">
        <v>16.149999999999999</v>
      </c>
    </row>
    <row r="132" spans="1:2">
      <c r="A132" s="169">
        <v>45932</v>
      </c>
      <c r="B132" s="170">
        <v>15.82</v>
      </c>
    </row>
    <row r="133" spans="1:2">
      <c r="A133" s="169">
        <v>45931</v>
      </c>
      <c r="B133" s="170">
        <v>15.42</v>
      </c>
    </row>
    <row r="134" spans="1:2">
      <c r="A134" s="169">
        <v>45930</v>
      </c>
      <c r="B134" s="170">
        <v>15.3</v>
      </c>
    </row>
    <row r="135" spans="1:2">
      <c r="A135" s="169">
        <v>45929</v>
      </c>
      <c r="B135" s="170">
        <v>15.16</v>
      </c>
    </row>
    <row r="136" spans="1:2">
      <c r="A136" s="169">
        <v>45926</v>
      </c>
      <c r="B136" s="170">
        <v>15.03</v>
      </c>
    </row>
    <row r="137" spans="1:2">
      <c r="A137" s="169">
        <v>45925</v>
      </c>
      <c r="B137" s="170">
        <v>14.9</v>
      </c>
    </row>
    <row r="138" spans="1:2">
      <c r="A138" s="169">
        <v>45924</v>
      </c>
      <c r="B138" s="170">
        <v>15.23</v>
      </c>
    </row>
    <row r="139" spans="1:2">
      <c r="A139" s="169">
        <v>45923</v>
      </c>
      <c r="B139" s="170">
        <v>15.21</v>
      </c>
    </row>
    <row r="140" spans="1:2">
      <c r="A140" s="169">
        <v>45922</v>
      </c>
      <c r="B140" s="170">
        <v>15.36</v>
      </c>
    </row>
    <row r="141" spans="1:2">
      <c r="A141" s="169">
        <v>45919</v>
      </c>
      <c r="B141" s="170">
        <v>15.36</v>
      </c>
    </row>
    <row r="142" spans="1:2">
      <c r="A142" s="169">
        <v>45918</v>
      </c>
      <c r="B142" s="170">
        <v>15.81</v>
      </c>
    </row>
    <row r="143" spans="1:2">
      <c r="A143" s="169">
        <v>45917</v>
      </c>
      <c r="B143" s="170">
        <v>15.18</v>
      </c>
    </row>
    <row r="144" spans="1:2">
      <c r="A144" s="169">
        <v>45916</v>
      </c>
      <c r="B144" s="170">
        <v>15.2</v>
      </c>
    </row>
    <row r="145" spans="1:2">
      <c r="A145" s="169">
        <v>45915</v>
      </c>
      <c r="B145" s="170">
        <v>15.11</v>
      </c>
    </row>
    <row r="146" spans="1:2">
      <c r="A146" s="169">
        <v>45912</v>
      </c>
      <c r="B146" s="170">
        <v>15.25</v>
      </c>
    </row>
    <row r="147" spans="1:2">
      <c r="A147" s="169">
        <v>45911</v>
      </c>
      <c r="B147" s="172"/>
    </row>
    <row r="148" spans="1:2">
      <c r="A148" s="169">
        <v>45911</v>
      </c>
      <c r="B148" s="170">
        <v>15.5</v>
      </c>
    </row>
    <row r="149" spans="1:2">
      <c r="A149" s="169">
        <v>45910</v>
      </c>
      <c r="B149" s="170">
        <v>15.29</v>
      </c>
    </row>
    <row r="150" spans="1:2">
      <c r="A150" s="169">
        <v>45909</v>
      </c>
      <c r="B150" s="170">
        <v>15.25</v>
      </c>
    </row>
    <row r="151" spans="1:2">
      <c r="A151" s="169">
        <v>45908</v>
      </c>
      <c r="B151" s="170">
        <v>15.38</v>
      </c>
    </row>
    <row r="152" spans="1:2">
      <c r="A152" s="169">
        <v>45905</v>
      </c>
      <c r="B152" s="170">
        <v>15.56</v>
      </c>
    </row>
    <row r="153" spans="1:2">
      <c r="A153" s="169">
        <v>45904</v>
      </c>
      <c r="B153" s="170">
        <v>15.32</v>
      </c>
    </row>
    <row r="154" spans="1:2">
      <c r="A154" s="169">
        <v>45903</v>
      </c>
      <c r="B154" s="170">
        <v>14.97</v>
      </c>
    </row>
    <row r="155" spans="1:2">
      <c r="A155" s="169">
        <v>45902</v>
      </c>
      <c r="B155" s="170">
        <v>14.85</v>
      </c>
    </row>
    <row r="156" spans="1:2">
      <c r="A156" s="169">
        <v>45898</v>
      </c>
      <c r="B156" s="170">
        <v>15.46</v>
      </c>
    </row>
    <row r="157" spans="1:2">
      <c r="A157" s="169">
        <v>45897</v>
      </c>
      <c r="B157" s="170">
        <v>15.69</v>
      </c>
    </row>
    <row r="158" spans="1:2">
      <c r="A158" s="169">
        <v>45896</v>
      </c>
      <c r="B158" s="170">
        <v>15.54</v>
      </c>
    </row>
    <row r="159" spans="1:2">
      <c r="A159" s="169">
        <v>45895</v>
      </c>
      <c r="B159" s="170">
        <v>15.43</v>
      </c>
    </row>
    <row r="160" spans="1:2">
      <c r="A160" s="169">
        <v>45894</v>
      </c>
      <c r="B160" s="170">
        <v>15.3</v>
      </c>
    </row>
    <row r="161" spans="1:2">
      <c r="A161" s="169">
        <v>45891</v>
      </c>
      <c r="B161" s="170">
        <v>15.58</v>
      </c>
    </row>
    <row r="162" spans="1:2">
      <c r="A162" s="169">
        <v>45890</v>
      </c>
      <c r="B162" s="170">
        <v>14.54</v>
      </c>
    </row>
    <row r="163" spans="1:2">
      <c r="A163" s="169">
        <v>45889</v>
      </c>
      <c r="B163" s="170">
        <v>14.77</v>
      </c>
    </row>
    <row r="164" spans="1:2">
      <c r="A164" s="169">
        <v>45888</v>
      </c>
      <c r="B164" s="170">
        <v>14.79</v>
      </c>
    </row>
    <row r="165" spans="1:2">
      <c r="A165" s="169">
        <v>45887</v>
      </c>
      <c r="B165" s="170">
        <v>14.76</v>
      </c>
    </row>
    <row r="166" spans="1:2">
      <c r="A166" s="169">
        <v>45884</v>
      </c>
      <c r="B166" s="170">
        <v>14.84</v>
      </c>
    </row>
    <row r="167" spans="1:2">
      <c r="A167" s="169">
        <v>45883</v>
      </c>
      <c r="B167" s="170">
        <v>15.32</v>
      </c>
    </row>
    <row r="168" spans="1:2">
      <c r="A168" s="169">
        <v>45882</v>
      </c>
      <c r="B168" s="170">
        <v>15.46</v>
      </c>
    </row>
    <row r="169" spans="1:2">
      <c r="A169" s="169">
        <v>45881</v>
      </c>
      <c r="B169" s="170">
        <v>14.77</v>
      </c>
    </row>
    <row r="170" spans="1:2">
      <c r="A170" s="169">
        <v>45880</v>
      </c>
      <c r="B170" s="170">
        <v>13.97</v>
      </c>
    </row>
    <row r="171" spans="1:2">
      <c r="A171" s="169">
        <v>45877</v>
      </c>
      <c r="B171" s="170">
        <v>14.59</v>
      </c>
    </row>
    <row r="172" spans="1:2">
      <c r="A172" s="169">
        <v>45876</v>
      </c>
      <c r="B172" s="170">
        <v>14.3</v>
      </c>
    </row>
    <row r="173" spans="1:2">
      <c r="A173" s="169">
        <v>45875</v>
      </c>
      <c r="B173" s="170">
        <v>13.76</v>
      </c>
    </row>
    <row r="174" spans="1:2">
      <c r="A174" s="169">
        <v>45874</v>
      </c>
      <c r="B174" s="170">
        <v>16.010000000000002</v>
      </c>
    </row>
    <row r="175" spans="1:2">
      <c r="A175" s="169">
        <v>45873</v>
      </c>
      <c r="B175" s="170">
        <v>16.18</v>
      </c>
    </row>
    <row r="176" spans="1:2">
      <c r="A176" s="169">
        <v>45870</v>
      </c>
      <c r="B176" s="170">
        <v>15.98</v>
      </c>
    </row>
    <row r="177" spans="1:2">
      <c r="A177" s="169">
        <v>45869</v>
      </c>
      <c r="B177" s="170">
        <v>16.39</v>
      </c>
    </row>
    <row r="178" spans="1:2">
      <c r="A178" s="169">
        <v>45868</v>
      </c>
      <c r="B178" s="170">
        <v>16.88</v>
      </c>
    </row>
    <row r="179" spans="1:2">
      <c r="A179" s="169">
        <v>45867</v>
      </c>
      <c r="B179" s="170">
        <v>17.22</v>
      </c>
    </row>
    <row r="180" spans="1:2">
      <c r="A180" s="169">
        <v>45866</v>
      </c>
      <c r="B180" s="170">
        <v>17.059999999999999</v>
      </c>
    </row>
    <row r="181" spans="1:2">
      <c r="A181" s="169">
        <v>45863</v>
      </c>
      <c r="B181" s="170">
        <v>17</v>
      </c>
    </row>
    <row r="182" spans="1:2">
      <c r="A182" s="169">
        <v>45862</v>
      </c>
      <c r="B182" s="170">
        <v>16.93</v>
      </c>
    </row>
    <row r="183" spans="1:2">
      <c r="A183" s="169">
        <v>45861</v>
      </c>
      <c r="B183" s="170">
        <v>17.62</v>
      </c>
    </row>
    <row r="184" spans="1:2">
      <c r="A184" s="169">
        <v>45860</v>
      </c>
      <c r="B184" s="170">
        <v>17.52</v>
      </c>
    </row>
    <row r="185" spans="1:2">
      <c r="A185" s="169">
        <v>45859</v>
      </c>
      <c r="B185" s="170">
        <v>17.45</v>
      </c>
    </row>
    <row r="186" spans="1:2">
      <c r="A186" s="169">
        <v>45856</v>
      </c>
      <c r="B186" s="170">
        <v>17.239999999999998</v>
      </c>
    </row>
    <row r="187" spans="1:2">
      <c r="A187" s="169">
        <v>45855</v>
      </c>
      <c r="B187" s="170">
        <v>17.28</v>
      </c>
    </row>
    <row r="188" spans="1:2">
      <c r="A188" s="169">
        <v>45854</v>
      </c>
      <c r="B188" s="170">
        <v>17.010000000000002</v>
      </c>
    </row>
    <row r="189" spans="1:2">
      <c r="A189" s="169">
        <v>45853</v>
      </c>
      <c r="B189" s="170">
        <v>16.989999999999998</v>
      </c>
    </row>
    <row r="190" spans="1:2">
      <c r="A190" s="169">
        <v>45852</v>
      </c>
      <c r="B190" s="170">
        <v>17.47</v>
      </c>
    </row>
    <row r="191" spans="1:2">
      <c r="A191" s="169">
        <v>45849</v>
      </c>
      <c r="B191" s="170">
        <v>17.850000000000001</v>
      </c>
    </row>
    <row r="192" spans="1:2">
      <c r="A192" s="169">
        <v>45848</v>
      </c>
      <c r="B192" s="170">
        <v>17.88</v>
      </c>
    </row>
    <row r="193" spans="1:2">
      <c r="A193" s="169">
        <v>45847</v>
      </c>
      <c r="B193" s="170">
        <v>17.61</v>
      </c>
    </row>
    <row r="194" spans="1:2">
      <c r="A194" s="169">
        <v>45846</v>
      </c>
      <c r="B194" s="170">
        <v>17.350000000000001</v>
      </c>
    </row>
    <row r="195" spans="1:2">
      <c r="A195" s="169">
        <v>45845</v>
      </c>
      <c r="B195" s="170">
        <v>16.64</v>
      </c>
    </row>
    <row r="196" spans="1:2">
      <c r="A196" s="169">
        <v>45841</v>
      </c>
      <c r="B196" s="170">
        <v>17.21</v>
      </c>
    </row>
    <row r="197" spans="1:2">
      <c r="A197" s="169">
        <v>45840</v>
      </c>
      <c r="B197" s="170">
        <v>17.02</v>
      </c>
    </row>
    <row r="198" spans="1:2">
      <c r="A198" s="169">
        <v>45839</v>
      </c>
      <c r="B198" s="170">
        <v>16.05</v>
      </c>
    </row>
    <row r="199" spans="1:2">
      <c r="A199" s="169">
        <v>45838</v>
      </c>
      <c r="B199" s="170">
        <v>15.88</v>
      </c>
    </row>
    <row r="200" spans="1:2">
      <c r="A200" s="169">
        <v>45835</v>
      </c>
      <c r="B200" s="170">
        <v>15.96</v>
      </c>
    </row>
    <row r="201" spans="1:2">
      <c r="A201" s="169">
        <v>45834</v>
      </c>
      <c r="B201" s="170">
        <v>15.69</v>
      </c>
    </row>
    <row r="202" spans="1:2">
      <c r="A202" s="169">
        <v>45833</v>
      </c>
      <c r="B202" s="170">
        <v>15.56</v>
      </c>
    </row>
    <row r="203" spans="1:2">
      <c r="A203" s="169">
        <v>45832</v>
      </c>
      <c r="B203" s="170">
        <v>15.51</v>
      </c>
    </row>
    <row r="204" spans="1:2">
      <c r="A204" s="169">
        <v>45831</v>
      </c>
      <c r="B204" s="170">
        <v>15.39</v>
      </c>
    </row>
    <row r="205" spans="1:2">
      <c r="A205" s="169">
        <v>45828</v>
      </c>
      <c r="B205" s="170">
        <v>15.24</v>
      </c>
    </row>
    <row r="206" spans="1:2">
      <c r="A206" s="169">
        <v>45826</v>
      </c>
      <c r="B206" s="172"/>
    </row>
    <row r="207" spans="1:2">
      <c r="A207" s="169">
        <v>45826</v>
      </c>
      <c r="B207" s="170">
        <v>15.45</v>
      </c>
    </row>
    <row r="208" spans="1:2">
      <c r="A208" s="169">
        <v>45825</v>
      </c>
      <c r="B208" s="170">
        <v>15.33</v>
      </c>
    </row>
    <row r="209" spans="1:2">
      <c r="A209" s="169">
        <v>45824</v>
      </c>
      <c r="B209" s="170">
        <v>15.73</v>
      </c>
    </row>
    <row r="210" spans="1:2">
      <c r="A210" s="169">
        <v>45821</v>
      </c>
      <c r="B210" s="170">
        <v>15.17</v>
      </c>
    </row>
    <row r="211" spans="1:2">
      <c r="A211" s="169">
        <v>45820</v>
      </c>
      <c r="B211" s="170">
        <v>15.95</v>
      </c>
    </row>
    <row r="212" spans="1:2">
      <c r="A212" s="169">
        <v>45819</v>
      </c>
      <c r="B212" s="170">
        <v>15.9</v>
      </c>
    </row>
    <row r="213" spans="1:2">
      <c r="A213" s="169">
        <v>45818</v>
      </c>
      <c r="B213" s="170">
        <v>15.97</v>
      </c>
    </row>
    <row r="214" spans="1:2">
      <c r="A214" s="169">
        <v>45817</v>
      </c>
      <c r="B214" s="170">
        <v>15.6</v>
      </c>
    </row>
    <row r="215" spans="1:2">
      <c r="A215" s="169">
        <v>45814</v>
      </c>
      <c r="B215" s="170">
        <v>15.16</v>
      </c>
    </row>
    <row r="216" spans="1:2">
      <c r="A216" s="169">
        <v>45813</v>
      </c>
      <c r="B216" s="170">
        <v>14.72</v>
      </c>
    </row>
    <row r="217" spans="1:2">
      <c r="A217" s="169">
        <v>45812</v>
      </c>
      <c r="B217" s="170">
        <v>14.83</v>
      </c>
    </row>
    <row r="218" spans="1:2">
      <c r="A218" s="169">
        <v>45811</v>
      </c>
      <c r="B218" s="170">
        <v>14.78</v>
      </c>
    </row>
    <row r="219" spans="1:2">
      <c r="A219" s="169">
        <v>45810</v>
      </c>
      <c r="B219" s="170">
        <v>13.94</v>
      </c>
    </row>
    <row r="220" spans="1:2">
      <c r="A220" s="169">
        <v>45807</v>
      </c>
      <c r="B220" s="170">
        <v>14.07</v>
      </c>
    </row>
    <row r="221" spans="1:2">
      <c r="A221" s="169">
        <v>45806</v>
      </c>
      <c r="B221" s="170">
        <v>14.29</v>
      </c>
    </row>
    <row r="222" spans="1:2">
      <c r="A222" s="169">
        <v>45805</v>
      </c>
      <c r="B222" s="170">
        <v>14.14</v>
      </c>
    </row>
    <row r="223" spans="1:2">
      <c r="A223" s="169">
        <v>45804</v>
      </c>
      <c r="B223" s="170">
        <v>14.47</v>
      </c>
    </row>
    <row r="224" spans="1:2">
      <c r="A224" s="169">
        <v>45800</v>
      </c>
      <c r="B224" s="170">
        <v>13.91</v>
      </c>
    </row>
    <row r="225" spans="1:2">
      <c r="A225" s="169">
        <v>45799</v>
      </c>
      <c r="B225" s="170">
        <v>14.21</v>
      </c>
    </row>
    <row r="226" spans="1:2">
      <c r="A226" s="169">
        <v>45798</v>
      </c>
      <c r="B226" s="170">
        <v>14.28</v>
      </c>
    </row>
    <row r="227" spans="1:2">
      <c r="A227" s="169">
        <v>45797</v>
      </c>
      <c r="B227" s="170">
        <v>14.88</v>
      </c>
    </row>
    <row r="228" spans="1:2">
      <c r="A228" s="169">
        <v>45796</v>
      </c>
      <c r="B228" s="170">
        <v>15.01</v>
      </c>
    </row>
    <row r="229" spans="1:2">
      <c r="A229" s="169">
        <v>45793</v>
      </c>
      <c r="B229" s="170">
        <v>15.27</v>
      </c>
    </row>
    <row r="230" spans="1:2">
      <c r="A230" s="169">
        <v>45792</v>
      </c>
      <c r="B230" s="170">
        <v>15.09</v>
      </c>
    </row>
    <row r="231" spans="1:2">
      <c r="A231" s="169">
        <v>45791</v>
      </c>
      <c r="B231" s="170">
        <v>15.13</v>
      </c>
    </row>
    <row r="232" spans="1:2">
      <c r="A232" s="169">
        <v>45790</v>
      </c>
      <c r="B232" s="170">
        <v>14.84</v>
      </c>
    </row>
    <row r="233" spans="1:2">
      <c r="A233" s="169">
        <v>45789</v>
      </c>
      <c r="B233" s="170">
        <v>14.74</v>
      </c>
    </row>
    <row r="234" spans="1:2">
      <c r="A234" s="169">
        <v>45786</v>
      </c>
      <c r="B234" s="170">
        <v>13.14</v>
      </c>
    </row>
    <row r="235" spans="1:2">
      <c r="A235" s="169">
        <v>45785</v>
      </c>
      <c r="B235" s="170">
        <v>12.86</v>
      </c>
    </row>
    <row r="236" spans="1:2">
      <c r="A236" s="169">
        <v>45784</v>
      </c>
      <c r="B236" s="170">
        <v>12.13</v>
      </c>
    </row>
    <row r="237" spans="1:2">
      <c r="A237" s="169">
        <v>45783</v>
      </c>
      <c r="B237" s="170">
        <v>13.44</v>
      </c>
    </row>
    <row r="238" spans="1:2">
      <c r="A238" s="169">
        <v>45782</v>
      </c>
      <c r="B238" s="170">
        <v>13.67</v>
      </c>
    </row>
    <row r="239" spans="1:2">
      <c r="A239" s="169">
        <v>45779</v>
      </c>
      <c r="B239" s="170">
        <v>13.72</v>
      </c>
    </row>
    <row r="240" spans="1:2">
      <c r="A240" s="169">
        <v>45778</v>
      </c>
      <c r="B240" s="170">
        <v>13.25</v>
      </c>
    </row>
    <row r="241" spans="1:2">
      <c r="A241" s="169">
        <v>45777</v>
      </c>
      <c r="B241" s="170">
        <v>12.99</v>
      </c>
    </row>
    <row r="242" spans="1:2">
      <c r="A242" s="169">
        <v>45776</v>
      </c>
      <c r="B242" s="170">
        <v>13.09</v>
      </c>
    </row>
    <row r="243" spans="1:2">
      <c r="A243" s="169">
        <v>45775</v>
      </c>
      <c r="B243" s="170">
        <v>13.17</v>
      </c>
    </row>
    <row r="244" spans="1:2">
      <c r="A244" s="169">
        <v>45772</v>
      </c>
      <c r="B244" s="170">
        <v>12.9</v>
      </c>
    </row>
    <row r="245" spans="1:2">
      <c r="A245" s="169">
        <v>45771</v>
      </c>
      <c r="B245" s="170">
        <v>12.94</v>
      </c>
    </row>
    <row r="246" spans="1:2">
      <c r="A246" s="169">
        <v>45770</v>
      </c>
      <c r="B246" s="170">
        <v>11.74</v>
      </c>
    </row>
    <row r="247" spans="1:2">
      <c r="A247" s="169">
        <v>45769</v>
      </c>
      <c r="B247" s="170">
        <v>11.18</v>
      </c>
    </row>
    <row r="248" spans="1:2">
      <c r="A248" s="169">
        <v>45768</v>
      </c>
      <c r="B248" s="170">
        <v>11.07</v>
      </c>
    </row>
    <row r="249" spans="1:2">
      <c r="A249" s="169">
        <v>45764</v>
      </c>
      <c r="B249" s="170">
        <v>11.24</v>
      </c>
    </row>
    <row r="250" spans="1:2">
      <c r="A250" s="169">
        <v>45763</v>
      </c>
      <c r="B250" s="170">
        <v>10.9</v>
      </c>
    </row>
    <row r="251" spans="1:2">
      <c r="A251" s="169">
        <v>45762</v>
      </c>
      <c r="B251" s="170">
        <v>11.36</v>
      </c>
    </row>
    <row r="252" spans="1:2">
      <c r="A252" s="169">
        <v>45761</v>
      </c>
      <c r="B252" s="170">
        <v>11.37</v>
      </c>
    </row>
    <row r="253" spans="1:2">
      <c r="A253" s="169">
        <v>45758</v>
      </c>
      <c r="B253" s="170">
        <v>11.16</v>
      </c>
    </row>
    <row r="254" spans="1:2">
      <c r="A254" s="169">
        <v>45757</v>
      </c>
      <c r="B254" s="170">
        <v>11.45</v>
      </c>
    </row>
    <row r="255" spans="1:2">
      <c r="A255" s="169">
        <v>45756</v>
      </c>
      <c r="B255" s="170">
        <v>12.92</v>
      </c>
    </row>
    <row r="256" spans="1:2">
      <c r="A256" s="169">
        <v>45755</v>
      </c>
      <c r="B256" s="170">
        <v>10.57</v>
      </c>
    </row>
    <row r="257" spans="1:2">
      <c r="A257" s="169">
        <v>45754</v>
      </c>
      <c r="B257" s="170">
        <v>11.62</v>
      </c>
    </row>
    <row r="258" spans="1:2">
      <c r="A258" s="169">
        <v>45751</v>
      </c>
      <c r="B258" s="170">
        <v>11.88</v>
      </c>
    </row>
    <row r="259" spans="1:2">
      <c r="A259" s="169">
        <v>45750</v>
      </c>
      <c r="B259" s="170">
        <v>12.45</v>
      </c>
    </row>
    <row r="260" spans="1:2">
      <c r="A260" s="169">
        <v>45749</v>
      </c>
      <c r="B260" s="170">
        <v>15.93</v>
      </c>
    </row>
    <row r="261" spans="1:2">
      <c r="A261" s="169">
        <v>45748</v>
      </c>
      <c r="B261" s="170">
        <v>15.63</v>
      </c>
    </row>
    <row r="262" spans="1:2">
      <c r="A262" s="169">
        <v>45747</v>
      </c>
      <c r="B262" s="170">
        <v>15.9</v>
      </c>
    </row>
    <row r="263" spans="1:2">
      <c r="A263" s="169">
        <v>45744</v>
      </c>
      <c r="B263" s="170">
        <v>16.18</v>
      </c>
    </row>
    <row r="264" spans="1:2">
      <c r="A264" s="169">
        <v>45743</v>
      </c>
      <c r="B264" s="170">
        <v>16.63</v>
      </c>
    </row>
    <row r="265" spans="1:2">
      <c r="A265" s="169">
        <v>45742</v>
      </c>
      <c r="B265" s="170">
        <v>16.8</v>
      </c>
    </row>
    <row r="266" spans="1:2">
      <c r="A266" s="169">
        <v>45741</v>
      </c>
      <c r="B266" s="170">
        <v>16.96</v>
      </c>
    </row>
    <row r="267" spans="1:2">
      <c r="A267" s="169">
        <v>45740</v>
      </c>
      <c r="B267" s="170">
        <v>17.329999999999998</v>
      </c>
    </row>
    <row r="268" spans="1:2">
      <c r="A268" s="169">
        <v>45737</v>
      </c>
      <c r="B268" s="170">
        <v>16.86</v>
      </c>
    </row>
    <row r="269" spans="1:2">
      <c r="A269" s="169">
        <v>45736</v>
      </c>
      <c r="B269" s="170">
        <v>17.21</v>
      </c>
    </row>
    <row r="270" spans="1:2">
      <c r="A270" s="169">
        <v>45735</v>
      </c>
      <c r="B270" s="170">
        <v>17.329999999999998</v>
      </c>
    </row>
    <row r="271" spans="1:2">
      <c r="A271" s="169">
        <v>45734</v>
      </c>
      <c r="B271" s="170">
        <v>17.04</v>
      </c>
    </row>
    <row r="272" spans="1:2">
      <c r="A272" s="169">
        <v>45733</v>
      </c>
      <c r="B272" s="170">
        <v>17.100000000000001</v>
      </c>
    </row>
    <row r="273" spans="1:2">
      <c r="A273" s="169">
        <v>45730</v>
      </c>
      <c r="B273" s="170">
        <v>16.87</v>
      </c>
    </row>
    <row r="274" spans="1:2">
      <c r="A274" s="169">
        <v>45729</v>
      </c>
      <c r="B274" s="172"/>
    </row>
    <row r="275" spans="1:2">
      <c r="A275" s="169">
        <v>45729</v>
      </c>
      <c r="B275" s="170">
        <v>16.68</v>
      </c>
    </row>
    <row r="276" spans="1:2">
      <c r="A276" s="169">
        <v>45728</v>
      </c>
      <c r="B276" s="170">
        <v>16.63</v>
      </c>
    </row>
    <row r="277" spans="1:2">
      <c r="A277" s="169">
        <v>45727</v>
      </c>
      <c r="B277" s="170">
        <v>17.04</v>
      </c>
    </row>
    <row r="278" spans="1:2">
      <c r="A278" s="169">
        <v>45726</v>
      </c>
      <c r="B278" s="170">
        <v>17.63</v>
      </c>
    </row>
    <row r="279" spans="1:2">
      <c r="A279" s="169">
        <v>45723</v>
      </c>
      <c r="B279" s="170">
        <v>17.78</v>
      </c>
    </row>
    <row r="280" spans="1:2">
      <c r="A280" s="169">
        <v>45722</v>
      </c>
      <c r="B280" s="170">
        <v>17.62</v>
      </c>
    </row>
    <row r="281" spans="1:2">
      <c r="A281" s="169">
        <v>45721</v>
      </c>
      <c r="B281" s="170">
        <v>17.41</v>
      </c>
    </row>
    <row r="282" spans="1:2">
      <c r="A282" s="169">
        <v>45720</v>
      </c>
      <c r="B282" s="170">
        <v>16.940000000000001</v>
      </c>
    </row>
    <row r="283" spans="1:2">
      <c r="A283" s="169">
        <v>45719</v>
      </c>
      <c r="B283" s="170">
        <v>16.62</v>
      </c>
    </row>
    <row r="284" spans="1:2">
      <c r="A284" s="169">
        <v>45716</v>
      </c>
      <c r="B284" s="170">
        <v>17.14</v>
      </c>
    </row>
    <row r="285" spans="1:2">
      <c r="A285" s="169">
        <v>45715</v>
      </c>
      <c r="B285" s="170">
        <v>16.78</v>
      </c>
    </row>
    <row r="286" spans="1:2">
      <c r="A286" s="169">
        <v>45714</v>
      </c>
      <c r="B286" s="170">
        <v>17.97</v>
      </c>
    </row>
    <row r="287" spans="1:2">
      <c r="A287" s="169">
        <v>45713</v>
      </c>
      <c r="B287" s="170">
        <v>18</v>
      </c>
    </row>
    <row r="288" spans="1:2">
      <c r="A288" s="169">
        <v>45712</v>
      </c>
      <c r="B288" s="170">
        <v>18.350000000000001</v>
      </c>
    </row>
    <row r="289" spans="1:2">
      <c r="A289" s="169">
        <v>45709</v>
      </c>
      <c r="B289" s="170">
        <v>18.63</v>
      </c>
    </row>
    <row r="290" spans="1:2">
      <c r="A290" s="169">
        <v>45708</v>
      </c>
      <c r="B290" s="170">
        <v>19.079999999999998</v>
      </c>
    </row>
    <row r="291" spans="1:2">
      <c r="A291" s="169">
        <v>45707</v>
      </c>
      <c r="B291" s="170">
        <v>19.100000000000001</v>
      </c>
    </row>
    <row r="292" spans="1:2">
      <c r="A292" s="169">
        <v>45706</v>
      </c>
      <c r="B292" s="170">
        <v>18.600000000000001</v>
      </c>
    </row>
    <row r="293" spans="1:2">
      <c r="A293" s="169">
        <v>45702</v>
      </c>
      <c r="B293" s="170">
        <v>18.63</v>
      </c>
    </row>
    <row r="294" spans="1:2">
      <c r="A294" s="169">
        <v>45701</v>
      </c>
      <c r="B294" s="170">
        <v>17.75</v>
      </c>
    </row>
    <row r="295" spans="1:2">
      <c r="A295" s="169">
        <v>45700</v>
      </c>
      <c r="B295" s="170">
        <v>17.27</v>
      </c>
    </row>
    <row r="296" spans="1:2">
      <c r="A296" s="169">
        <v>45699</v>
      </c>
      <c r="B296" s="170">
        <v>17.010000000000002</v>
      </c>
    </row>
    <row r="297" spans="1:2">
      <c r="A297" s="169">
        <v>45698</v>
      </c>
      <c r="B297" s="170">
        <v>16.93</v>
      </c>
    </row>
    <row r="298" spans="1:2">
      <c r="A298" s="169">
        <v>45695</v>
      </c>
      <c r="B298" s="170">
        <v>17.170000000000002</v>
      </c>
    </row>
    <row r="299" spans="1:2">
      <c r="A299" s="169">
        <v>45694</v>
      </c>
      <c r="B299" s="170">
        <v>17.579999999999998</v>
      </c>
    </row>
    <row r="300" spans="1:2">
      <c r="A300" s="169">
        <v>45693</v>
      </c>
      <c r="B300" s="170">
        <v>18.28</v>
      </c>
    </row>
    <row r="301" spans="1:2">
      <c r="A301" s="169">
        <v>45692</v>
      </c>
      <c r="B301" s="170">
        <v>16.64</v>
      </c>
    </row>
    <row r="302" spans="1:2">
      <c r="A302" s="169">
        <v>45691</v>
      </c>
      <c r="B302" s="170">
        <v>16.260000000000002</v>
      </c>
    </row>
    <row r="303" spans="1:2">
      <c r="A303" s="169">
        <v>45688</v>
      </c>
      <c r="B303" s="170">
        <v>16.93</v>
      </c>
    </row>
    <row r="304" spans="1:2">
      <c r="A304" s="169">
        <v>45687</v>
      </c>
      <c r="B304" s="170">
        <v>16.649999999999999</v>
      </c>
    </row>
    <row r="305" spans="1:2">
      <c r="A305" s="169">
        <v>45686</v>
      </c>
      <c r="B305" s="170">
        <v>16.420000000000002</v>
      </c>
    </row>
    <row r="306" spans="1:2">
      <c r="A306" s="169">
        <v>45685</v>
      </c>
      <c r="B306" s="170">
        <v>16.25</v>
      </c>
    </row>
    <row r="307" spans="1:2">
      <c r="A307" s="169">
        <v>45684</v>
      </c>
      <c r="B307" s="170">
        <v>16.29</v>
      </c>
    </row>
    <row r="308" spans="1:2">
      <c r="A308" s="169">
        <v>45681</v>
      </c>
      <c r="B308" s="170">
        <v>16.86</v>
      </c>
    </row>
    <row r="309" spans="1:2">
      <c r="A309" s="169">
        <v>45680</v>
      </c>
      <c r="B309" s="170">
        <v>17.149999999999999</v>
      </c>
    </row>
    <row r="310" spans="1:2">
      <c r="A310" s="169">
        <v>45679</v>
      </c>
      <c r="B310" s="170">
        <v>17.2</v>
      </c>
    </row>
    <row r="311" spans="1:2">
      <c r="A311" s="169">
        <v>45678</v>
      </c>
      <c r="B311" s="170">
        <v>17.3</v>
      </c>
    </row>
    <row r="312" spans="1:2">
      <c r="A312" s="169">
        <v>45674</v>
      </c>
      <c r="B312" s="170">
        <v>16.5</v>
      </c>
    </row>
    <row r="313" spans="1:2">
      <c r="A313" s="169">
        <v>45673</v>
      </c>
      <c r="B313" s="170">
        <v>16.510000000000002</v>
      </c>
    </row>
    <row r="314" spans="1:2">
      <c r="A314" s="169">
        <v>45672</v>
      </c>
      <c r="B314" s="170">
        <v>16.46</v>
      </c>
    </row>
    <row r="315" spans="1:2">
      <c r="A315" s="169">
        <v>45671</v>
      </c>
      <c r="B315" s="170">
        <v>16.079999999999998</v>
      </c>
    </row>
    <row r="316" spans="1:2">
      <c r="A316" s="169">
        <v>45670</v>
      </c>
      <c r="B316" s="170">
        <v>16.260000000000002</v>
      </c>
    </row>
    <row r="317" spans="1:2">
      <c r="A317" s="169">
        <v>45667</v>
      </c>
      <c r="B317" s="170">
        <v>16.36</v>
      </c>
    </row>
    <row r="318" spans="1:2">
      <c r="A318" s="169">
        <v>45665</v>
      </c>
      <c r="B318" s="170">
        <v>16.64</v>
      </c>
    </row>
    <row r="319" spans="1:2">
      <c r="A319" s="169">
        <v>45664</v>
      </c>
      <c r="B319" s="170">
        <v>17.2</v>
      </c>
    </row>
    <row r="320" spans="1:2">
      <c r="A320" s="169">
        <v>45663</v>
      </c>
      <c r="B320" s="170">
        <v>17.190000000000001</v>
      </c>
    </row>
    <row r="321" spans="1:2">
      <c r="A321" s="169">
        <v>45660</v>
      </c>
      <c r="B321" s="170">
        <v>17.16</v>
      </c>
    </row>
    <row r="322" spans="1:2">
      <c r="A322" s="169">
        <v>45659</v>
      </c>
      <c r="B322" s="170">
        <v>16.690000000000001</v>
      </c>
    </row>
    <row r="323" spans="1:2">
      <c r="A323" s="169">
        <v>45657</v>
      </c>
      <c r="B323" s="170">
        <v>16.940000000000001</v>
      </c>
    </row>
    <row r="324" spans="1:2">
      <c r="A324" s="169">
        <v>45656</v>
      </c>
      <c r="B324" s="170">
        <v>16.84</v>
      </c>
    </row>
    <row r="325" spans="1:2">
      <c r="A325" s="169">
        <v>45653</v>
      </c>
      <c r="B325" s="170">
        <v>17.48</v>
      </c>
    </row>
    <row r="326" spans="1:2">
      <c r="A326" s="169">
        <v>45652</v>
      </c>
      <c r="B326" s="170">
        <v>17.77</v>
      </c>
    </row>
    <row r="327" spans="1:2">
      <c r="A327" s="169">
        <v>45650</v>
      </c>
      <c r="B327" s="170">
        <v>17.54</v>
      </c>
    </row>
    <row r="328" spans="1:2">
      <c r="A328" s="169">
        <v>45649</v>
      </c>
      <c r="B328" s="170">
        <v>17.23</v>
      </c>
    </row>
    <row r="329" spans="1:2">
      <c r="A329" s="169">
        <v>45646</v>
      </c>
      <c r="B329" s="170">
        <v>17.18</v>
      </c>
    </row>
    <row r="330" spans="1:2">
      <c r="A330" s="169">
        <v>45645</v>
      </c>
      <c r="B330" s="170">
        <v>17.010000000000002</v>
      </c>
    </row>
    <row r="331" spans="1:2">
      <c r="A331" s="169">
        <v>45644</v>
      </c>
      <c r="B331" s="170">
        <v>17.38</v>
      </c>
    </row>
    <row r="332" spans="1:2">
      <c r="A332" s="169">
        <v>45643</v>
      </c>
      <c r="B332" s="170">
        <v>17.510000000000002</v>
      </c>
    </row>
    <row r="333" spans="1:2">
      <c r="A333" s="169">
        <v>45642</v>
      </c>
      <c r="B333" s="170">
        <v>17.739999999999998</v>
      </c>
    </row>
    <row r="334" spans="1:2">
      <c r="A334" s="169">
        <v>45639</v>
      </c>
      <c r="B334" s="170">
        <v>17.809999999999999</v>
      </c>
    </row>
    <row r="335" spans="1:2">
      <c r="A335" s="169">
        <v>45638</v>
      </c>
      <c r="B335" s="170">
        <v>17.600000000000001</v>
      </c>
    </row>
    <row r="336" spans="1:2">
      <c r="A336" s="169">
        <v>45637</v>
      </c>
      <c r="B336" s="170">
        <v>18.03</v>
      </c>
    </row>
    <row r="337" spans="1:2">
      <c r="A337" s="169">
        <v>45636</v>
      </c>
      <c r="B337" s="170">
        <v>17.86</v>
      </c>
    </row>
    <row r="338" spans="1:2">
      <c r="A338" s="169">
        <v>45635</v>
      </c>
      <c r="B338" s="170">
        <v>18.149999999999999</v>
      </c>
    </row>
    <row r="339" spans="1:2">
      <c r="A339" s="169">
        <v>45632</v>
      </c>
      <c r="B339" s="170">
        <v>18.18</v>
      </c>
    </row>
    <row r="340" spans="1:2">
      <c r="A340" s="169">
        <v>45631</v>
      </c>
      <c r="B340" s="170">
        <v>18.260000000000002</v>
      </c>
    </row>
    <row r="341" spans="1:2">
      <c r="A341" s="169">
        <v>45630</v>
      </c>
      <c r="B341" s="170">
        <v>18.899999999999999</v>
      </c>
    </row>
    <row r="342" spans="1:2">
      <c r="A342" s="169">
        <v>45629</v>
      </c>
      <c r="B342" s="172"/>
    </row>
    <row r="343" spans="1:2">
      <c r="A343" s="169">
        <v>45629</v>
      </c>
      <c r="B343" s="170">
        <v>18.489999999999998</v>
      </c>
    </row>
    <row r="344" spans="1:2">
      <c r="A344" s="169">
        <v>45628</v>
      </c>
      <c r="B344" s="170">
        <v>19.41</v>
      </c>
    </row>
    <row r="345" spans="1:2">
      <c r="A345" s="169">
        <v>45625</v>
      </c>
      <c r="B345" s="170">
        <v>19.100000000000001</v>
      </c>
    </row>
    <row r="346" spans="1:2">
      <c r="A346" s="169">
        <v>45623</v>
      </c>
      <c r="B346" s="170">
        <v>18.96</v>
      </c>
    </row>
    <row r="347" spans="1:2">
      <c r="A347" s="169">
        <v>45622</v>
      </c>
      <c r="B347" s="170">
        <v>18.190000000000001</v>
      </c>
    </row>
    <row r="348" spans="1:2">
      <c r="A348" s="169">
        <v>45621</v>
      </c>
      <c r="B348" s="170">
        <v>17.13</v>
      </c>
    </row>
    <row r="349" spans="1:2">
      <c r="A349" s="169">
        <v>45618</v>
      </c>
      <c r="B349" s="170">
        <v>15.98</v>
      </c>
    </row>
    <row r="350" spans="1:2">
      <c r="A350" s="169">
        <v>45617</v>
      </c>
      <c r="B350" s="170">
        <v>15.5</v>
      </c>
    </row>
    <row r="351" spans="1:2">
      <c r="A351" s="169">
        <v>45616</v>
      </c>
      <c r="B351" s="170">
        <v>15.17</v>
      </c>
    </row>
    <row r="352" spans="1:2">
      <c r="A352" s="169">
        <v>45615</v>
      </c>
      <c r="B352" s="170">
        <v>15.23</v>
      </c>
    </row>
    <row r="353" spans="1:2">
      <c r="A353" s="169">
        <v>45614</v>
      </c>
      <c r="B353" s="170">
        <v>15.22</v>
      </c>
    </row>
    <row r="354" spans="1:2">
      <c r="A354" s="169">
        <v>45611</v>
      </c>
      <c r="B354" s="170">
        <v>15.36</v>
      </c>
    </row>
    <row r="355" spans="1:2">
      <c r="A355" s="169">
        <v>45610</v>
      </c>
      <c r="B355" s="170">
        <v>16.04</v>
      </c>
    </row>
    <row r="356" spans="1:2">
      <c r="A356" s="169">
        <v>45609</v>
      </c>
      <c r="B356" s="170">
        <v>16.329999999999998</v>
      </c>
    </row>
    <row r="357" spans="1:2">
      <c r="A357" s="169">
        <v>45608</v>
      </c>
      <c r="B357" s="170">
        <v>16.670000000000002</v>
      </c>
    </row>
    <row r="358" spans="1:2">
      <c r="A358" s="169">
        <v>45607</v>
      </c>
      <c r="B358" s="170">
        <v>17.36</v>
      </c>
    </row>
    <row r="359" spans="1:2">
      <c r="A359" s="169">
        <v>45604</v>
      </c>
      <c r="B359" s="170">
        <v>17.89</v>
      </c>
    </row>
    <row r="360" spans="1:2">
      <c r="A360" s="169">
        <v>45603</v>
      </c>
      <c r="B360" s="170">
        <v>17.89</v>
      </c>
    </row>
    <row r="361" spans="1:2">
      <c r="A361" s="169">
        <v>45602</v>
      </c>
      <c r="B361" s="170">
        <v>18.190000000000001</v>
      </c>
    </row>
    <row r="362" spans="1:2">
      <c r="A362" s="169">
        <v>45601</v>
      </c>
      <c r="B362" s="170">
        <v>17.04</v>
      </c>
    </row>
    <row r="363" spans="1:2">
      <c r="A363" s="169">
        <v>45600</v>
      </c>
      <c r="B363" s="170">
        <v>17.02</v>
      </c>
    </row>
    <row r="364" spans="1:2">
      <c r="A364" s="169">
        <v>45597</v>
      </c>
      <c r="B364" s="170">
        <v>16.95</v>
      </c>
    </row>
    <row r="365" spans="1:2">
      <c r="A365" s="169">
        <v>45596</v>
      </c>
      <c r="B365" s="170">
        <v>16.96</v>
      </c>
    </row>
    <row r="366" spans="1:2">
      <c r="A366" s="169">
        <v>45595</v>
      </c>
      <c r="B366" s="170">
        <v>17.46</v>
      </c>
    </row>
    <row r="367" spans="1:2">
      <c r="A367" s="169">
        <v>45594</v>
      </c>
      <c r="B367" s="170">
        <v>18.02</v>
      </c>
    </row>
    <row r="368" spans="1:2">
      <c r="A368" s="169">
        <v>45593</v>
      </c>
      <c r="B368" s="170">
        <v>17.920000000000002</v>
      </c>
    </row>
    <row r="369" spans="1:2">
      <c r="A369" s="169">
        <v>45590</v>
      </c>
      <c r="B369" s="170">
        <v>17.77</v>
      </c>
    </row>
    <row r="370" spans="1:2">
      <c r="A370" s="169">
        <v>45589</v>
      </c>
      <c r="B370" s="170">
        <v>17.760000000000002</v>
      </c>
    </row>
    <row r="371" spans="1:2">
      <c r="A371" s="169">
        <v>45588</v>
      </c>
      <c r="B371" s="170">
        <v>17.57</v>
      </c>
    </row>
    <row r="372" spans="1:2">
      <c r="A372" s="169">
        <v>45587</v>
      </c>
      <c r="B372" s="170">
        <v>17.68</v>
      </c>
    </row>
    <row r="373" spans="1:2">
      <c r="A373" s="169">
        <v>45586</v>
      </c>
      <c r="B373" s="170">
        <v>17.84</v>
      </c>
    </row>
    <row r="374" spans="1:2">
      <c r="A374" s="169">
        <v>45583</v>
      </c>
      <c r="B374" s="170">
        <v>18.239999999999998</v>
      </c>
    </row>
    <row r="375" spans="1:2">
      <c r="A375" s="169">
        <v>45582</v>
      </c>
      <c r="B375" s="170">
        <v>18.45</v>
      </c>
    </row>
    <row r="376" spans="1:2">
      <c r="A376" s="169">
        <v>45581</v>
      </c>
      <c r="B376" s="170">
        <v>18.3</v>
      </c>
    </row>
    <row r="377" spans="1:2">
      <c r="A377" s="169">
        <v>45580</v>
      </c>
      <c r="B377" s="170">
        <v>18.11</v>
      </c>
    </row>
    <row r="378" spans="1:2">
      <c r="A378" s="169">
        <v>45579</v>
      </c>
      <c r="B378" s="170">
        <v>18.39</v>
      </c>
    </row>
    <row r="379" spans="1:2">
      <c r="A379" s="169">
        <v>45576</v>
      </c>
      <c r="B379" s="170">
        <v>18.21</v>
      </c>
    </row>
    <row r="380" spans="1:2">
      <c r="A380" s="169">
        <v>45575</v>
      </c>
      <c r="B380" s="170">
        <v>17.75</v>
      </c>
    </row>
    <row r="381" spans="1:2">
      <c r="A381" s="169">
        <v>45574</v>
      </c>
      <c r="B381" s="170">
        <v>17.91</v>
      </c>
    </row>
    <row r="382" spans="1:2">
      <c r="A382" s="169">
        <v>45573</v>
      </c>
      <c r="B382" s="170">
        <v>17.739999999999998</v>
      </c>
    </row>
    <row r="383" spans="1:2">
      <c r="A383" s="169">
        <v>45572</v>
      </c>
      <c r="B383" s="170">
        <v>17.809999999999999</v>
      </c>
    </row>
    <row r="384" spans="1:2">
      <c r="A384" s="169">
        <v>45569</v>
      </c>
      <c r="B384" s="170">
        <v>18</v>
      </c>
    </row>
    <row r="385" spans="1:2">
      <c r="A385" s="169">
        <v>45568</v>
      </c>
      <c r="B385" s="170">
        <v>17.760000000000002</v>
      </c>
    </row>
    <row r="386" spans="1:2">
      <c r="A386" s="169">
        <v>45567</v>
      </c>
      <c r="B386" s="170">
        <v>18.22</v>
      </c>
    </row>
    <row r="387" spans="1:2">
      <c r="A387" s="169">
        <v>45566</v>
      </c>
      <c r="B387" s="170">
        <v>18.36</v>
      </c>
    </row>
    <row r="388" spans="1:2">
      <c r="A388" s="169">
        <v>45565</v>
      </c>
      <c r="B388" s="170">
        <v>18.91</v>
      </c>
    </row>
    <row r="389" spans="1:2">
      <c r="A389" s="169">
        <v>45562</v>
      </c>
      <c r="B389" s="170">
        <v>19.07</v>
      </c>
    </row>
    <row r="390" spans="1:2">
      <c r="A390" s="169">
        <v>45561</v>
      </c>
      <c r="B390" s="170">
        <v>18.5</v>
      </c>
    </row>
    <row r="391" spans="1:2">
      <c r="A391" s="169">
        <v>45560</v>
      </c>
      <c r="B391" s="170">
        <v>17.88</v>
      </c>
    </row>
    <row r="392" spans="1:2">
      <c r="A392" s="169">
        <v>45559</v>
      </c>
      <c r="B392" s="170">
        <v>18.52</v>
      </c>
    </row>
    <row r="393" spans="1:2">
      <c r="A393" s="169">
        <v>45558</v>
      </c>
      <c r="B393" s="170">
        <v>18.48</v>
      </c>
    </row>
    <row r="394" spans="1:2">
      <c r="A394" s="169">
        <v>45555</v>
      </c>
      <c r="B394" s="170">
        <v>18.47</v>
      </c>
    </row>
    <row r="395" spans="1:2">
      <c r="A395" s="169">
        <v>45554</v>
      </c>
      <c r="B395" s="170">
        <v>18.77</v>
      </c>
    </row>
    <row r="396" spans="1:2">
      <c r="A396" s="169">
        <v>45553</v>
      </c>
      <c r="B396" s="170">
        <v>18.350000000000001</v>
      </c>
    </row>
    <row r="397" spans="1:2">
      <c r="A397" s="169">
        <v>45552</v>
      </c>
      <c r="B397" s="170">
        <v>18.440000000000001</v>
      </c>
    </row>
    <row r="398" spans="1:2">
      <c r="A398" s="169">
        <v>45551</v>
      </c>
      <c r="B398" s="170">
        <v>18.32</v>
      </c>
    </row>
    <row r="399" spans="1:2">
      <c r="A399" s="169">
        <v>45548</v>
      </c>
      <c r="B399" s="170">
        <v>18.420000000000002</v>
      </c>
    </row>
    <row r="400" spans="1:2">
      <c r="A400" s="169">
        <v>45547</v>
      </c>
      <c r="B400" s="170">
        <v>18.010000000000002</v>
      </c>
    </row>
    <row r="401" spans="1:2">
      <c r="A401" s="169">
        <v>45546</v>
      </c>
      <c r="B401" s="170">
        <v>18.02</v>
      </c>
    </row>
    <row r="402" spans="1:2">
      <c r="A402" s="169">
        <v>45545</v>
      </c>
      <c r="B402" s="172"/>
    </row>
    <row r="403" spans="1:2">
      <c r="A403" s="169">
        <v>45545</v>
      </c>
      <c r="B403" s="170">
        <v>17.78</v>
      </c>
    </row>
    <row r="404" spans="1:2">
      <c r="A404" s="169">
        <v>45544</v>
      </c>
      <c r="B404" s="170">
        <v>17.88</v>
      </c>
    </row>
    <row r="405" spans="1:2">
      <c r="A405" s="169">
        <v>45541</v>
      </c>
      <c r="B405" s="170">
        <v>18.46</v>
      </c>
    </row>
    <row r="406" spans="1:2">
      <c r="A406" s="169">
        <v>45540</v>
      </c>
      <c r="B406" s="170">
        <v>18.88</v>
      </c>
    </row>
    <row r="407" spans="1:2">
      <c r="A407" s="169">
        <v>45539</v>
      </c>
      <c r="B407" s="170">
        <v>19.100000000000001</v>
      </c>
    </row>
    <row r="408" spans="1:2">
      <c r="A408" s="169">
        <v>45538</v>
      </c>
      <c r="B408" s="170">
        <v>18.93</v>
      </c>
    </row>
    <row r="409" spans="1:2">
      <c r="A409" s="169">
        <v>45534</v>
      </c>
      <c r="B409" s="170">
        <v>20.149999999999999</v>
      </c>
    </row>
    <row r="410" spans="1:2">
      <c r="A410" s="169">
        <v>45533</v>
      </c>
      <c r="B410" s="170">
        <v>20.149999999999999</v>
      </c>
    </row>
    <row r="411" spans="1:2">
      <c r="A411" s="169">
        <v>45532</v>
      </c>
      <c r="B411" s="170">
        <v>19.79</v>
      </c>
    </row>
    <row r="412" spans="1:2">
      <c r="A412" s="169">
        <v>45531</v>
      </c>
      <c r="B412" s="170">
        <v>20.21</v>
      </c>
    </row>
    <row r="413" spans="1:2">
      <c r="A413" s="169">
        <v>45530</v>
      </c>
      <c r="B413" s="170">
        <v>20.47</v>
      </c>
    </row>
    <row r="414" spans="1:2">
      <c r="A414" s="169">
        <v>45527</v>
      </c>
      <c r="B414" s="170">
        <v>20.64</v>
      </c>
    </row>
    <row r="415" spans="1:2">
      <c r="A415" s="169">
        <v>45526</v>
      </c>
      <c r="B415" s="170">
        <v>19.940000000000001</v>
      </c>
    </row>
    <row r="416" spans="1:2">
      <c r="A416" s="169">
        <v>45525</v>
      </c>
      <c r="B416" s="170">
        <v>20.309999999999999</v>
      </c>
    </row>
    <row r="417" spans="1:2">
      <c r="A417" s="169">
        <v>45524</v>
      </c>
      <c r="B417" s="170">
        <v>20.100000000000001</v>
      </c>
    </row>
    <row r="418" spans="1:2">
      <c r="A418" s="169">
        <v>45523</v>
      </c>
      <c r="B418" s="170">
        <v>20.46</v>
      </c>
    </row>
    <row r="419" spans="1:2">
      <c r="A419" s="169">
        <v>45520</v>
      </c>
      <c r="B419" s="170">
        <v>20.260000000000002</v>
      </c>
    </row>
    <row r="420" spans="1:2">
      <c r="A420" s="169">
        <v>45519</v>
      </c>
      <c r="B420" s="170">
        <v>20.2</v>
      </c>
    </row>
    <row r="421" spans="1:2">
      <c r="A421" s="169">
        <v>45518</v>
      </c>
      <c r="B421" s="170">
        <v>19.61</v>
      </c>
    </row>
    <row r="422" spans="1:2">
      <c r="A422" s="169">
        <v>45517</v>
      </c>
      <c r="B422" s="170">
        <v>20.09</v>
      </c>
    </row>
    <row r="423" spans="1:2">
      <c r="A423" s="169">
        <v>45516</v>
      </c>
      <c r="B423" s="170">
        <v>19.62</v>
      </c>
    </row>
    <row r="424" spans="1:2">
      <c r="A424" s="169">
        <v>45513</v>
      </c>
      <c r="B424" s="170">
        <v>20.149999999999999</v>
      </c>
    </row>
    <row r="425" spans="1:2">
      <c r="A425" s="169">
        <v>45512</v>
      </c>
      <c r="B425" s="170">
        <v>20.170000000000002</v>
      </c>
    </row>
    <row r="426" spans="1:2">
      <c r="A426" s="169">
        <v>45511</v>
      </c>
      <c r="B426" s="170">
        <v>19.850000000000001</v>
      </c>
    </row>
    <row r="427" spans="1:2">
      <c r="A427" s="169">
        <v>45510</v>
      </c>
      <c r="B427" s="170">
        <v>21.47</v>
      </c>
    </row>
    <row r="428" spans="1:2">
      <c r="A428" s="169">
        <v>45509</v>
      </c>
      <c r="B428" s="170">
        <v>21.57</v>
      </c>
    </row>
    <row r="429" spans="1:2">
      <c r="A429" s="169">
        <v>45506</v>
      </c>
      <c r="B429" s="170">
        <v>22.43</v>
      </c>
    </row>
    <row r="430" spans="1:2">
      <c r="A430" s="169">
        <v>45505</v>
      </c>
      <c r="B430" s="170">
        <v>23.53</v>
      </c>
    </row>
    <row r="431" spans="1:2">
      <c r="A431" s="169">
        <v>45504</v>
      </c>
      <c r="B431" s="170">
        <v>24.31</v>
      </c>
    </row>
    <row r="432" spans="1:2">
      <c r="A432" s="169">
        <v>45503</v>
      </c>
      <c r="B432" s="170">
        <v>23.84</v>
      </c>
    </row>
    <row r="433" spans="1:2">
      <c r="A433" s="169">
        <v>45502</v>
      </c>
      <c r="B433" s="170">
        <v>24.06</v>
      </c>
    </row>
    <row r="434" spans="1:2">
      <c r="A434" s="169">
        <v>45499</v>
      </c>
      <c r="B434" s="170">
        <v>24</v>
      </c>
    </row>
    <row r="435" spans="1:2">
      <c r="A435" s="169">
        <v>45498</v>
      </c>
      <c r="B435" s="170">
        <v>23.28</v>
      </c>
    </row>
    <row r="436" spans="1:2">
      <c r="A436" s="169">
        <v>45497</v>
      </c>
      <c r="B436" s="170">
        <v>23.49</v>
      </c>
    </row>
    <row r="437" spans="1:2">
      <c r="A437" s="169">
        <v>45496</v>
      </c>
      <c r="B437" s="170">
        <v>24.03</v>
      </c>
    </row>
    <row r="438" spans="1:2">
      <c r="A438" s="169">
        <v>45495</v>
      </c>
      <c r="B438" s="170">
        <v>24.27</v>
      </c>
    </row>
    <row r="439" spans="1:2">
      <c r="A439" s="169">
        <v>45492</v>
      </c>
      <c r="B439" s="170">
        <v>23.53</v>
      </c>
    </row>
    <row r="440" spans="1:2">
      <c r="A440" s="169">
        <v>45491</v>
      </c>
      <c r="B440" s="170">
        <v>23.95</v>
      </c>
    </row>
    <row r="441" spans="1:2">
      <c r="A441" s="169">
        <v>45490</v>
      </c>
      <c r="B441" s="170">
        <v>24.27</v>
      </c>
    </row>
    <row r="442" spans="1:2">
      <c r="A442" s="169">
        <v>45489</v>
      </c>
      <c r="B442" s="170">
        <v>24.23</v>
      </c>
    </row>
    <row r="443" spans="1:2">
      <c r="A443" s="169">
        <v>45488</v>
      </c>
      <c r="B443" s="170">
        <v>23.45</v>
      </c>
    </row>
    <row r="444" spans="1:2">
      <c r="A444" s="169">
        <v>45485</v>
      </c>
      <c r="B444" s="170">
        <v>23.21</v>
      </c>
    </row>
    <row r="445" spans="1:2">
      <c r="A445" s="169">
        <v>45484</v>
      </c>
      <c r="B445" s="170">
        <v>23</v>
      </c>
    </row>
    <row r="446" spans="1:2">
      <c r="A446" s="169">
        <v>45483</v>
      </c>
      <c r="B446" s="170">
        <v>22.44</v>
      </c>
    </row>
    <row r="447" spans="1:2">
      <c r="A447" s="169">
        <v>45482</v>
      </c>
      <c r="B447" s="170">
        <v>22.06</v>
      </c>
    </row>
    <row r="448" spans="1:2">
      <c r="A448" s="169">
        <v>45481</v>
      </c>
      <c r="B448" s="170">
        <v>22.51</v>
      </c>
    </row>
    <row r="449" spans="1:2">
      <c r="A449" s="169">
        <v>45478</v>
      </c>
      <c r="B449" s="170">
        <v>22.24</v>
      </c>
    </row>
    <row r="450" spans="1:2">
      <c r="A450" s="169">
        <v>45476</v>
      </c>
      <c r="B450" s="170">
        <v>22.24</v>
      </c>
    </row>
    <row r="451" spans="1:2">
      <c r="A451" s="169">
        <v>45475</v>
      </c>
      <c r="B451" s="170">
        <v>21.96</v>
      </c>
    </row>
    <row r="452" spans="1:2">
      <c r="A452" s="169">
        <v>45474</v>
      </c>
      <c r="B452" s="170">
        <v>21.79</v>
      </c>
    </row>
    <row r="453" spans="1:2">
      <c r="A453" s="169">
        <v>45471</v>
      </c>
      <c r="B453" s="170">
        <v>22.3</v>
      </c>
    </row>
    <row r="454" spans="1:2">
      <c r="A454" s="169">
        <v>45470</v>
      </c>
      <c r="B454" s="170">
        <v>22.09</v>
      </c>
    </row>
    <row r="455" spans="1:2">
      <c r="A455" s="169">
        <v>45469</v>
      </c>
      <c r="B455" s="170">
        <v>22.04</v>
      </c>
    </row>
    <row r="456" spans="1:2">
      <c r="A456" s="169">
        <v>45468</v>
      </c>
      <c r="B456" s="170">
        <v>22</v>
      </c>
    </row>
    <row r="457" spans="1:2">
      <c r="A457" s="169">
        <v>45467</v>
      </c>
      <c r="B457" s="170">
        <v>22.07</v>
      </c>
    </row>
    <row r="458" spans="1:2">
      <c r="A458" s="169">
        <v>45464</v>
      </c>
      <c r="B458" s="170">
        <v>22.41</v>
      </c>
    </row>
    <row r="459" spans="1:2">
      <c r="A459" s="169">
        <v>45463</v>
      </c>
      <c r="B459" s="170">
        <v>22.5</v>
      </c>
    </row>
    <row r="460" spans="1:2">
      <c r="A460" s="169">
        <v>45461</v>
      </c>
      <c r="B460" s="170">
        <v>22.34</v>
      </c>
    </row>
    <row r="461" spans="1:2">
      <c r="A461" s="169">
        <v>45460</v>
      </c>
      <c r="B461" s="170">
        <v>22.37</v>
      </c>
    </row>
    <row r="462" spans="1:2">
      <c r="A462" s="169">
        <v>45457</v>
      </c>
      <c r="B462" s="170">
        <v>22.29</v>
      </c>
    </row>
    <row r="463" spans="1:2">
      <c r="A463" s="169">
        <v>45456</v>
      </c>
      <c r="B463" s="172"/>
    </row>
    <row r="464" spans="1:2">
      <c r="A464" s="169">
        <v>45456</v>
      </c>
      <c r="B464" s="170">
        <v>23.01</v>
      </c>
    </row>
    <row r="465" spans="1:2">
      <c r="A465" s="169">
        <v>45455</v>
      </c>
      <c r="B465" s="170">
        <v>23.3</v>
      </c>
    </row>
    <row r="466" spans="1:2">
      <c r="A466" s="169">
        <v>45454</v>
      </c>
      <c r="B466" s="170">
        <v>22.74</v>
      </c>
    </row>
    <row r="467" spans="1:2">
      <c r="A467" s="169">
        <v>45453</v>
      </c>
      <c r="B467" s="170">
        <v>22.63</v>
      </c>
    </row>
    <row r="468" spans="1:2">
      <c r="A468" s="169">
        <v>45450</v>
      </c>
      <c r="B468" s="170">
        <v>22.63</v>
      </c>
    </row>
    <row r="469" spans="1:2">
      <c r="A469" s="169">
        <v>45449</v>
      </c>
      <c r="B469" s="170">
        <v>23.09</v>
      </c>
    </row>
    <row r="470" spans="1:2">
      <c r="A470" s="169">
        <v>45448</v>
      </c>
      <c r="B470" s="170">
        <v>23.32</v>
      </c>
    </row>
    <row r="471" spans="1:2">
      <c r="A471" s="169">
        <v>45447</v>
      </c>
      <c r="B471" s="170">
        <v>22.89</v>
      </c>
    </row>
    <row r="472" spans="1:2">
      <c r="A472" s="169">
        <v>45446</v>
      </c>
      <c r="B472" s="170">
        <v>23.87</v>
      </c>
    </row>
    <row r="473" spans="1:2">
      <c r="A473" s="169">
        <v>45443</v>
      </c>
      <c r="B473" s="170">
        <v>23.63</v>
      </c>
    </row>
    <row r="474" spans="1:2">
      <c r="A474" s="169">
        <v>45442</v>
      </c>
      <c r="B474" s="170">
        <v>23.4</v>
      </c>
    </row>
    <row r="475" spans="1:2">
      <c r="A475" s="169">
        <v>45441</v>
      </c>
      <c r="B475" s="170">
        <v>23.38</v>
      </c>
    </row>
    <row r="476" spans="1:2">
      <c r="A476" s="169">
        <v>45440</v>
      </c>
      <c r="B476" s="170">
        <v>23.82</v>
      </c>
    </row>
    <row r="477" spans="1:2">
      <c r="A477" s="169">
        <v>45436</v>
      </c>
      <c r="B477" s="170">
        <v>24</v>
      </c>
    </row>
    <row r="478" spans="1:2">
      <c r="A478" s="169">
        <v>45435</v>
      </c>
      <c r="B478" s="170">
        <v>23.54</v>
      </c>
    </row>
    <row r="479" spans="1:2">
      <c r="A479" s="169">
        <v>45434</v>
      </c>
      <c r="B479" s="170">
        <v>23.78</v>
      </c>
    </row>
    <row r="480" spans="1:2">
      <c r="A480" s="169">
        <v>45433</v>
      </c>
      <c r="B480" s="170">
        <v>23.61</v>
      </c>
    </row>
    <row r="481" spans="1:2">
      <c r="A481" s="169">
        <v>45432</v>
      </c>
      <c r="B481" s="170">
        <v>24.01</v>
      </c>
    </row>
    <row r="482" spans="1:2">
      <c r="A482" s="169">
        <v>45429</v>
      </c>
      <c r="B482" s="170">
        <v>23.93</v>
      </c>
    </row>
    <row r="483" spans="1:2">
      <c r="A483" s="169">
        <v>45428</v>
      </c>
      <c r="B483" s="170">
        <v>23.81</v>
      </c>
    </row>
    <row r="484" spans="1:2">
      <c r="A484" s="169">
        <v>45427</v>
      </c>
      <c r="B484" s="170">
        <v>23.72</v>
      </c>
    </row>
    <row r="485" spans="1:2">
      <c r="A485" s="169">
        <v>45426</v>
      </c>
      <c r="B485" s="170">
        <v>23.33</v>
      </c>
    </row>
    <row r="486" spans="1:2">
      <c r="A486" s="169">
        <v>45425</v>
      </c>
      <c r="B486" s="170">
        <v>22.71</v>
      </c>
    </row>
    <row r="487" spans="1:2">
      <c r="A487" s="169">
        <v>45422</v>
      </c>
      <c r="B487" s="170">
        <v>22.51</v>
      </c>
    </row>
    <row r="488" spans="1:2">
      <c r="A488" s="169">
        <v>45421</v>
      </c>
      <c r="B488" s="170">
        <v>23.05</v>
      </c>
    </row>
    <row r="489" spans="1:2">
      <c r="A489" s="169">
        <v>45420</v>
      </c>
      <c r="B489" s="170">
        <v>22.57</v>
      </c>
    </row>
    <row r="490" spans="1:2">
      <c r="A490" s="169">
        <v>45419</v>
      </c>
      <c r="B490" s="170">
        <v>22.97</v>
      </c>
    </row>
    <row r="491" spans="1:2">
      <c r="A491" s="169">
        <v>45418</v>
      </c>
      <c r="B491" s="170">
        <v>23.09</v>
      </c>
    </row>
    <row r="492" spans="1:2">
      <c r="A492" s="169">
        <v>45415</v>
      </c>
      <c r="B492" s="170">
        <v>22.77</v>
      </c>
    </row>
    <row r="493" spans="1:2">
      <c r="A493" s="169">
        <v>45414</v>
      </c>
      <c r="B493" s="170">
        <v>22.59</v>
      </c>
    </row>
    <row r="494" spans="1:2">
      <c r="A494" s="169">
        <v>45413</v>
      </c>
      <c r="B494" s="170">
        <v>22.23</v>
      </c>
    </row>
    <row r="495" spans="1:2">
      <c r="A495" s="169">
        <v>45412</v>
      </c>
      <c r="B495" s="170">
        <v>23.14</v>
      </c>
    </row>
    <row r="496" spans="1:2">
      <c r="A496" s="169">
        <v>45411</v>
      </c>
      <c r="B496" s="170">
        <v>23.07</v>
      </c>
    </row>
    <row r="497" spans="1:2">
      <c r="A497" s="169">
        <v>45408</v>
      </c>
      <c r="B497" s="170">
        <v>22.63</v>
      </c>
    </row>
    <row r="498" spans="1:2">
      <c r="A498" s="169">
        <v>45407</v>
      </c>
      <c r="B498" s="170">
        <v>22.1</v>
      </c>
    </row>
    <row r="499" spans="1:2">
      <c r="A499" s="169">
        <v>45406</v>
      </c>
      <c r="B499" s="170">
        <v>22.28</v>
      </c>
    </row>
    <row r="500" spans="1:2">
      <c r="A500" s="169">
        <v>45405</v>
      </c>
      <c r="B500" s="170">
        <v>21.58</v>
      </c>
    </row>
    <row r="501" spans="1:2">
      <c r="A501" s="169">
        <v>45404</v>
      </c>
      <c r="B501" s="170">
        <v>21.04</v>
      </c>
    </row>
    <row r="502" spans="1:2">
      <c r="A502" s="169">
        <v>45401</v>
      </c>
      <c r="B502" s="170">
        <v>20.9</v>
      </c>
    </row>
    <row r="503" spans="1:2">
      <c r="A503" s="169">
        <v>45400</v>
      </c>
      <c r="B503" s="170">
        <v>21.08</v>
      </c>
    </row>
    <row r="504" spans="1:2">
      <c r="A504" s="169">
        <v>45399</v>
      </c>
      <c r="B504" s="170">
        <v>21.09</v>
      </c>
    </row>
    <row r="505" spans="1:2">
      <c r="A505" s="169">
        <v>45398</v>
      </c>
      <c r="B505" s="170">
        <v>21.33</v>
      </c>
    </row>
    <row r="506" spans="1:2">
      <c r="A506" s="169">
        <v>45397</v>
      </c>
      <c r="B506" s="170">
        <v>21.42</v>
      </c>
    </row>
    <row r="507" spans="1:2">
      <c r="A507" s="169">
        <v>45394</v>
      </c>
      <c r="B507" s="170">
        <v>21.62</v>
      </c>
    </row>
    <row r="508" spans="1:2">
      <c r="A508" s="169">
        <v>45393</v>
      </c>
      <c r="B508" s="170">
        <v>22.02</v>
      </c>
    </row>
    <row r="509" spans="1:2">
      <c r="A509" s="169">
        <v>45392</v>
      </c>
      <c r="B509" s="170">
        <v>21.74</v>
      </c>
    </row>
    <row r="510" spans="1:2">
      <c r="A510" s="169">
        <v>45391</v>
      </c>
      <c r="B510" s="170">
        <v>22.52</v>
      </c>
    </row>
    <row r="511" spans="1:2">
      <c r="A511" s="169">
        <v>45390</v>
      </c>
      <c r="B511" s="170">
        <v>22.02</v>
      </c>
    </row>
    <row r="512" spans="1:2">
      <c r="A512" s="169">
        <v>45387</v>
      </c>
      <c r="B512" s="170">
        <v>21.89</v>
      </c>
    </row>
    <row r="513" spans="1:2">
      <c r="A513" s="169">
        <v>45386</v>
      </c>
      <c r="B513" s="170">
        <v>21.85</v>
      </c>
    </row>
    <row r="514" spans="1:2">
      <c r="A514" s="169">
        <v>45385</v>
      </c>
      <c r="B514" s="170">
        <v>22.19</v>
      </c>
    </row>
    <row r="515" spans="1:2">
      <c r="A515" s="169">
        <v>45384</v>
      </c>
      <c r="B515" s="170">
        <v>21.98</v>
      </c>
    </row>
    <row r="516" spans="1:2">
      <c r="A516" s="169">
        <v>45383</v>
      </c>
      <c r="B516" s="170">
        <v>22.52</v>
      </c>
    </row>
    <row r="517" spans="1:2">
      <c r="A517" s="169">
        <v>45379</v>
      </c>
      <c r="B517" s="170">
        <v>22.68</v>
      </c>
    </row>
    <row r="518" spans="1:2">
      <c r="A518" s="169">
        <v>45378</v>
      </c>
      <c r="B518" s="170">
        <v>22.88</v>
      </c>
    </row>
    <row r="519" spans="1:2">
      <c r="A519" s="169">
        <v>45377</v>
      </c>
      <c r="B519" s="170">
        <v>22.15</v>
      </c>
    </row>
    <row r="520" spans="1:2">
      <c r="A520" s="169">
        <v>45376</v>
      </c>
      <c r="B520" s="170">
        <v>22.51</v>
      </c>
    </row>
    <row r="521" spans="1:2">
      <c r="A521" s="169">
        <v>45373</v>
      </c>
      <c r="B521" s="170">
        <v>22.01</v>
      </c>
    </row>
    <row r="522" spans="1:2">
      <c r="A522" s="169">
        <v>45372</v>
      </c>
      <c r="B522" s="170">
        <v>22.27</v>
      </c>
    </row>
    <row r="523" spans="1:2">
      <c r="A523" s="169">
        <v>45371</v>
      </c>
      <c r="B523" s="170">
        <v>21.67</v>
      </c>
    </row>
    <row r="524" spans="1:2">
      <c r="A524" s="169">
        <v>45370</v>
      </c>
      <c r="B524" s="170">
        <v>21.49</v>
      </c>
    </row>
    <row r="525" spans="1:2">
      <c r="A525" s="169">
        <v>45369</v>
      </c>
      <c r="B525" s="170">
        <v>21.42</v>
      </c>
    </row>
    <row r="526" spans="1:2">
      <c r="A526" s="169">
        <v>45366</v>
      </c>
      <c r="B526" s="170">
        <v>22.18</v>
      </c>
    </row>
    <row r="527" spans="1:2">
      <c r="A527" s="169">
        <v>45365</v>
      </c>
      <c r="B527" s="170">
        <v>22.15</v>
      </c>
    </row>
    <row r="528" spans="1:2">
      <c r="A528" s="169">
        <v>45364</v>
      </c>
      <c r="B528" s="172"/>
    </row>
    <row r="529" spans="1:2">
      <c r="A529" s="169">
        <v>45364</v>
      </c>
      <c r="B529" s="170">
        <v>22.62</v>
      </c>
    </row>
    <row r="530" spans="1:2">
      <c r="A530" s="169">
        <v>45363</v>
      </c>
      <c r="B530" s="170">
        <v>23.24</v>
      </c>
    </row>
    <row r="531" spans="1:2">
      <c r="A531" s="169">
        <v>45362</v>
      </c>
      <c r="B531" s="170">
        <v>23.18</v>
      </c>
    </row>
    <row r="532" spans="1:2">
      <c r="A532" s="169">
        <v>45359</v>
      </c>
      <c r="B532" s="170">
        <v>23.22</v>
      </c>
    </row>
    <row r="533" spans="1:2">
      <c r="A533" s="169">
        <v>45358</v>
      </c>
      <c r="B533" s="170">
        <v>23.46</v>
      </c>
    </row>
    <row r="534" spans="1:2">
      <c r="A534" s="169">
        <v>45357</v>
      </c>
      <c r="B534" s="170">
        <v>23.04</v>
      </c>
    </row>
    <row r="535" spans="1:2">
      <c r="A535" s="169">
        <v>45356</v>
      </c>
      <c r="B535" s="170">
        <v>22.85</v>
      </c>
    </row>
    <row r="536" spans="1:2">
      <c r="A536" s="169">
        <v>45355</v>
      </c>
      <c r="B536" s="170">
        <v>22.85</v>
      </c>
    </row>
    <row r="537" spans="1:2">
      <c r="A537" s="169">
        <v>45352</v>
      </c>
      <c r="B537" s="170">
        <v>22.49</v>
      </c>
    </row>
    <row r="538" spans="1:2">
      <c r="A538" s="169">
        <v>45351</v>
      </c>
      <c r="B538" s="170">
        <v>21.75</v>
      </c>
    </row>
    <row r="539" spans="1:2">
      <c r="A539" s="169">
        <v>45350</v>
      </c>
      <c r="B539" s="170">
        <v>21.87</v>
      </c>
    </row>
    <row r="540" spans="1:2">
      <c r="A540" s="169">
        <v>45349</v>
      </c>
      <c r="B540" s="170">
        <v>21.76</v>
      </c>
    </row>
    <row r="541" spans="1:2">
      <c r="A541" s="169">
        <v>45348</v>
      </c>
      <c r="B541" s="170">
        <v>21.83</v>
      </c>
    </row>
    <row r="542" spans="1:2">
      <c r="A542" s="169">
        <v>45345</v>
      </c>
      <c r="B542" s="170">
        <v>21.71</v>
      </c>
    </row>
    <row r="543" spans="1:2">
      <c r="A543" s="169">
        <v>45344</v>
      </c>
      <c r="B543" s="170">
        <v>21.52</v>
      </c>
    </row>
    <row r="544" spans="1:2">
      <c r="A544" s="169">
        <v>45343</v>
      </c>
      <c r="B544" s="170">
        <v>21.42</v>
      </c>
    </row>
    <row r="545" spans="1:2">
      <c r="A545" s="169">
        <v>45342</v>
      </c>
      <c r="B545" s="170">
        <v>21.84</v>
      </c>
    </row>
    <row r="546" spans="1:2">
      <c r="A546" s="169">
        <v>45338</v>
      </c>
      <c r="B546" s="170">
        <v>22.28</v>
      </c>
    </row>
    <row r="547" spans="1:2">
      <c r="A547" s="169">
        <v>45337</v>
      </c>
      <c r="B547" s="170">
        <v>22.3</v>
      </c>
    </row>
    <row r="548" spans="1:2">
      <c r="A548" s="169">
        <v>45336</v>
      </c>
      <c r="B548" s="170">
        <v>21.67</v>
      </c>
    </row>
    <row r="549" spans="1:2">
      <c r="A549" s="169">
        <v>45335</v>
      </c>
      <c r="B549" s="170">
        <v>21.15</v>
      </c>
    </row>
    <row r="550" spans="1:2">
      <c r="A550" s="169">
        <v>45334</v>
      </c>
      <c r="B550" s="170">
        <v>22.53</v>
      </c>
    </row>
    <row r="551" spans="1:2">
      <c r="A551" s="169">
        <v>45331</v>
      </c>
      <c r="B551" s="170">
        <v>22.3</v>
      </c>
    </row>
    <row r="552" spans="1:2">
      <c r="A552" s="169">
        <v>45330</v>
      </c>
      <c r="B552" s="170">
        <v>21.85</v>
      </c>
    </row>
    <row r="553" spans="1:2">
      <c r="A553" s="169">
        <v>45329</v>
      </c>
      <c r="B553" s="170">
        <v>21.19</v>
      </c>
    </row>
    <row r="554" spans="1:2">
      <c r="A554" s="169">
        <v>45328</v>
      </c>
      <c r="B554" s="170">
        <v>21.58</v>
      </c>
    </row>
    <row r="555" spans="1:2">
      <c r="A555" s="169">
        <v>45327</v>
      </c>
      <c r="B555" s="170">
        <v>21.65</v>
      </c>
    </row>
    <row r="556" spans="1:2">
      <c r="A556" s="169">
        <v>45324</v>
      </c>
      <c r="B556" s="170">
        <v>21.92</v>
      </c>
    </row>
    <row r="557" spans="1:2">
      <c r="A557" s="169">
        <v>45323</v>
      </c>
      <c r="B557" s="170">
        <v>21.99</v>
      </c>
    </row>
    <row r="558" spans="1:2">
      <c r="A558" s="169">
        <v>45322</v>
      </c>
      <c r="B558" s="170">
        <v>21.73</v>
      </c>
    </row>
    <row r="559" spans="1:2">
      <c r="A559" s="169">
        <v>45321</v>
      </c>
      <c r="B559" s="170">
        <v>22.32</v>
      </c>
    </row>
    <row r="560" spans="1:2">
      <c r="A560" s="169">
        <v>45320</v>
      </c>
      <c r="B560" s="170">
        <v>22.33</v>
      </c>
    </row>
    <row r="561" spans="1:2">
      <c r="A561" s="169">
        <v>45317</v>
      </c>
      <c r="B561" s="170">
        <v>22.13</v>
      </c>
    </row>
    <row r="562" spans="1:2">
      <c r="A562" s="169">
        <v>45316</v>
      </c>
      <c r="B562" s="170">
        <v>22.24</v>
      </c>
    </row>
    <row r="563" spans="1:2">
      <c r="A563" s="169">
        <v>45315</v>
      </c>
      <c r="B563" s="170">
        <v>22.53</v>
      </c>
    </row>
    <row r="564" spans="1:2">
      <c r="A564" s="169">
        <v>45314</v>
      </c>
      <c r="B564" s="170">
        <v>22.77</v>
      </c>
    </row>
    <row r="565" spans="1:2">
      <c r="A565" s="169">
        <v>45313</v>
      </c>
      <c r="B565" s="170">
        <v>22.67</v>
      </c>
    </row>
    <row r="566" spans="1:2">
      <c r="A566" s="169">
        <v>45310</v>
      </c>
      <c r="B566" s="170">
        <v>22.31</v>
      </c>
    </row>
    <row r="567" spans="1:2">
      <c r="A567" s="169">
        <v>45309</v>
      </c>
      <c r="B567" s="170">
        <v>22.21</v>
      </c>
    </row>
    <row r="568" spans="1:2">
      <c r="A568" s="169">
        <v>45308</v>
      </c>
      <c r="B568" s="170">
        <v>21.73</v>
      </c>
    </row>
    <row r="569" spans="1:2">
      <c r="A569" s="169">
        <v>45307</v>
      </c>
      <c r="B569" s="170">
        <v>22.29</v>
      </c>
    </row>
    <row r="570" spans="1:2">
      <c r="A570" s="169">
        <v>45303</v>
      </c>
      <c r="B570" s="170">
        <v>22.41</v>
      </c>
    </row>
    <row r="571" spans="1:2">
      <c r="A571" s="169">
        <v>45302</v>
      </c>
      <c r="B571" s="170">
        <v>22.6</v>
      </c>
    </row>
    <row r="572" spans="1:2">
      <c r="A572" s="169">
        <v>45301</v>
      </c>
      <c r="B572" s="170">
        <v>22.39</v>
      </c>
    </row>
    <row r="573" spans="1:2">
      <c r="A573" s="169">
        <v>45300</v>
      </c>
      <c r="B573" s="170">
        <v>22.29</v>
      </c>
    </row>
    <row r="574" spans="1:2">
      <c r="A574" s="169">
        <v>45299</v>
      </c>
      <c r="B574" s="170">
        <v>22.87</v>
      </c>
    </row>
    <row r="575" spans="1:2">
      <c r="A575" s="169">
        <v>45296</v>
      </c>
      <c r="B575" s="170">
        <v>22.48</v>
      </c>
    </row>
    <row r="576" spans="1:2">
      <c r="A576" s="169">
        <v>45295</v>
      </c>
      <c r="B576" s="170">
        <v>22.67</v>
      </c>
    </row>
    <row r="577" spans="1:2">
      <c r="A577" s="169">
        <v>45294</v>
      </c>
      <c r="B577" s="170">
        <v>23.09</v>
      </c>
    </row>
    <row r="578" spans="1:2">
      <c r="A578" s="169">
        <v>45293</v>
      </c>
      <c r="B578" s="170">
        <v>23.51</v>
      </c>
    </row>
    <row r="579" spans="1:2">
      <c r="A579" s="169">
        <v>45289</v>
      </c>
      <c r="B579" s="170">
        <v>23.97</v>
      </c>
    </row>
    <row r="580" spans="1:2">
      <c r="A580" s="169">
        <v>45288</v>
      </c>
      <c r="B580" s="170">
        <v>24.07</v>
      </c>
    </row>
    <row r="581" spans="1:2">
      <c r="A581" s="169">
        <v>45287</v>
      </c>
      <c r="B581" s="170">
        <v>24.2</v>
      </c>
    </row>
    <row r="582" spans="1:2">
      <c r="A582" s="169">
        <v>45286</v>
      </c>
      <c r="B582" s="170">
        <v>24.4</v>
      </c>
    </row>
    <row r="583" spans="1:2">
      <c r="A583" s="169">
        <v>45282</v>
      </c>
      <c r="B583" s="170">
        <v>24.36</v>
      </c>
    </row>
    <row r="584" spans="1:2">
      <c r="A584" s="169">
        <v>45281</v>
      </c>
      <c r="B584" s="170">
        <v>23.98</v>
      </c>
    </row>
    <row r="585" spans="1:2">
      <c r="A585" s="169">
        <v>45280</v>
      </c>
      <c r="B585" s="170">
        <v>23.74</v>
      </c>
    </row>
    <row r="586" spans="1:2">
      <c r="A586" s="169">
        <v>45279</v>
      </c>
      <c r="B586" s="170">
        <v>24.18</v>
      </c>
    </row>
    <row r="587" spans="1:2">
      <c r="A587" s="169">
        <v>45278</v>
      </c>
      <c r="B587" s="170">
        <v>23.98</v>
      </c>
    </row>
    <row r="588" spans="1:2">
      <c r="A588" s="169">
        <v>45275</v>
      </c>
      <c r="B588" s="170">
        <v>24.18</v>
      </c>
    </row>
    <row r="589" spans="1:2">
      <c r="A589" s="169">
        <v>45274</v>
      </c>
      <c r="B589" s="170">
        <v>24.52</v>
      </c>
    </row>
    <row r="590" spans="1:2">
      <c r="A590" s="169">
        <v>45273</v>
      </c>
      <c r="B590" s="170">
        <v>23.52</v>
      </c>
    </row>
    <row r="591" spans="1:2">
      <c r="A591" s="169">
        <v>45272</v>
      </c>
      <c r="B591" s="172"/>
    </row>
    <row r="592" spans="1:2">
      <c r="A592" s="169">
        <v>45272</v>
      </c>
      <c r="B592" s="170">
        <v>23.23</v>
      </c>
    </row>
    <row r="593" spans="1:2">
      <c r="A593" s="169">
        <v>45271</v>
      </c>
      <c r="B593" s="170">
        <v>23.45</v>
      </c>
    </row>
    <row r="594" spans="1:2">
      <c r="A594" s="169">
        <v>45268</v>
      </c>
      <c r="B594" s="170">
        <v>23.13</v>
      </c>
    </row>
    <row r="595" spans="1:2">
      <c r="A595" s="169">
        <v>45267</v>
      </c>
      <c r="B595" s="170">
        <v>22.86</v>
      </c>
    </row>
    <row r="596" spans="1:2">
      <c r="A596" s="169">
        <v>45266</v>
      </c>
      <c r="B596" s="170">
        <v>22.37</v>
      </c>
    </row>
    <row r="597" spans="1:2">
      <c r="A597" s="169">
        <v>45265</v>
      </c>
      <c r="B597" s="170">
        <v>22.31</v>
      </c>
    </row>
    <row r="598" spans="1:2">
      <c r="A598" s="169">
        <v>45264</v>
      </c>
      <c r="B598" s="170">
        <v>22.69</v>
      </c>
    </row>
    <row r="599" spans="1:2">
      <c r="A599" s="169">
        <v>45261</v>
      </c>
      <c r="B599" s="170">
        <v>22.57</v>
      </c>
    </row>
    <row r="600" spans="1:2">
      <c r="A600" s="169">
        <v>45260</v>
      </c>
      <c r="B600" s="170">
        <v>22.23</v>
      </c>
    </row>
    <row r="601" spans="1:2">
      <c r="A601" s="169">
        <v>45259</v>
      </c>
      <c r="B601" s="170">
        <v>22.44</v>
      </c>
    </row>
    <row r="602" spans="1:2">
      <c r="A602" s="169">
        <v>45258</v>
      </c>
      <c r="B602" s="170">
        <v>22.35</v>
      </c>
    </row>
    <row r="603" spans="1:2">
      <c r="A603" s="169">
        <v>45257</v>
      </c>
      <c r="B603" s="170">
        <v>22.59</v>
      </c>
    </row>
    <row r="604" spans="1:2">
      <c r="A604" s="169">
        <v>45254</v>
      </c>
      <c r="B604" s="170">
        <v>22.3</v>
      </c>
    </row>
    <row r="605" spans="1:2">
      <c r="A605" s="169">
        <v>45252</v>
      </c>
      <c r="B605" s="170">
        <v>22.26</v>
      </c>
    </row>
    <row r="606" spans="1:2">
      <c r="A606" s="169">
        <v>45251</v>
      </c>
      <c r="B606" s="170">
        <v>22.27</v>
      </c>
    </row>
    <row r="607" spans="1:2">
      <c r="A607" s="169">
        <v>45250</v>
      </c>
      <c r="B607" s="170">
        <v>22.72</v>
      </c>
    </row>
    <row r="608" spans="1:2">
      <c r="A608" s="169">
        <v>45247</v>
      </c>
      <c r="B608" s="170">
        <v>22.49</v>
      </c>
    </row>
    <row r="609" spans="1:2">
      <c r="A609" s="169">
        <v>45246</v>
      </c>
      <c r="B609" s="170">
        <v>22.33</v>
      </c>
    </row>
    <row r="610" spans="1:2">
      <c r="A610" s="169">
        <v>45245</v>
      </c>
      <c r="B610" s="170">
        <v>22.71</v>
      </c>
    </row>
    <row r="611" spans="1:2">
      <c r="A611" s="169">
        <v>45244</v>
      </c>
      <c r="B611" s="170">
        <v>22.42</v>
      </c>
    </row>
    <row r="612" spans="1:2">
      <c r="A612" s="169">
        <v>45243</v>
      </c>
      <c r="B612" s="170">
        <v>21.41</v>
      </c>
    </row>
    <row r="613" spans="1:2">
      <c r="A613" s="169">
        <v>45240</v>
      </c>
      <c r="B613" s="170">
        <v>21.87</v>
      </c>
    </row>
    <row r="614" spans="1:2">
      <c r="A614" s="169">
        <v>45239</v>
      </c>
      <c r="B614" s="170">
        <v>21.31</v>
      </c>
    </row>
    <row r="615" spans="1:2">
      <c r="A615" s="169">
        <v>45238</v>
      </c>
      <c r="B615" s="170">
        <v>22.32</v>
      </c>
    </row>
    <row r="616" spans="1:2">
      <c r="A616" s="169">
        <v>45237</v>
      </c>
      <c r="B616" s="170">
        <v>22.97</v>
      </c>
    </row>
    <row r="617" spans="1:2">
      <c r="A617" s="169">
        <v>45236</v>
      </c>
      <c r="B617" s="170">
        <v>23.03</v>
      </c>
    </row>
    <row r="618" spans="1:2">
      <c r="A618" s="169">
        <v>45233</v>
      </c>
      <c r="B618" s="170">
        <v>23.62</v>
      </c>
    </row>
    <row r="619" spans="1:2">
      <c r="A619" s="169">
        <v>45232</v>
      </c>
      <c r="B619" s="170">
        <v>23.07</v>
      </c>
    </row>
    <row r="620" spans="1:2">
      <c r="A620" s="169">
        <v>45231</v>
      </c>
      <c r="B620" s="170">
        <v>22.42</v>
      </c>
    </row>
    <row r="621" spans="1:2">
      <c r="A621" s="169">
        <v>45230</v>
      </c>
      <c r="B621" s="170">
        <v>22.24</v>
      </c>
    </row>
    <row r="622" spans="1:2">
      <c r="A622" s="169">
        <v>45229</v>
      </c>
      <c r="B622" s="170">
        <v>22.23</v>
      </c>
    </row>
    <row r="623" spans="1:2">
      <c r="A623" s="169">
        <v>45226</v>
      </c>
      <c r="B623" s="170">
        <v>22.6</v>
      </c>
    </row>
    <row r="624" spans="1:2">
      <c r="A624" s="169">
        <v>45225</v>
      </c>
      <c r="B624" s="170">
        <v>22.68</v>
      </c>
    </row>
    <row r="625" spans="1:2">
      <c r="A625" s="169">
        <v>45224</v>
      </c>
      <c r="B625" s="170">
        <v>22.48</v>
      </c>
    </row>
    <row r="626" spans="1:2">
      <c r="A626" s="169">
        <v>45223</v>
      </c>
      <c r="B626" s="170">
        <v>22.86</v>
      </c>
    </row>
    <row r="627" spans="1:2">
      <c r="A627" s="169">
        <v>45222</v>
      </c>
      <c r="B627" s="170">
        <v>22.8</v>
      </c>
    </row>
    <row r="628" spans="1:2">
      <c r="A628" s="169">
        <v>45219</v>
      </c>
      <c r="B628" s="170">
        <v>23</v>
      </c>
    </row>
    <row r="629" spans="1:2">
      <c r="A629" s="169">
        <v>45218</v>
      </c>
      <c r="B629" s="170">
        <v>23.25</v>
      </c>
    </row>
    <row r="630" spans="1:2">
      <c r="A630" s="169">
        <v>45217</v>
      </c>
      <c r="B630" s="170">
        <v>23.58</v>
      </c>
    </row>
    <row r="631" spans="1:2">
      <c r="A631" s="169">
        <v>45216</v>
      </c>
      <c r="B631" s="170">
        <v>23.9</v>
      </c>
    </row>
    <row r="632" spans="1:2">
      <c r="A632" s="169">
        <v>45215</v>
      </c>
      <c r="B632" s="170">
        <v>23.84</v>
      </c>
    </row>
    <row r="633" spans="1:2">
      <c r="A633" s="169">
        <v>45212</v>
      </c>
      <c r="B633" s="170">
        <v>23.67</v>
      </c>
    </row>
    <row r="634" spans="1:2">
      <c r="A634" s="169">
        <v>45211</v>
      </c>
      <c r="B634" s="170">
        <v>24.16</v>
      </c>
    </row>
    <row r="635" spans="1:2">
      <c r="A635" s="169">
        <v>45210</v>
      </c>
      <c r="B635" s="170">
        <v>24.58</v>
      </c>
    </row>
    <row r="636" spans="1:2">
      <c r="A636" s="169">
        <v>45209</v>
      </c>
      <c r="B636" s="170">
        <v>24.45</v>
      </c>
    </row>
    <row r="637" spans="1:2">
      <c r="A637" s="169">
        <v>45208</v>
      </c>
      <c r="B637" s="170">
        <v>24.11</v>
      </c>
    </row>
    <row r="638" spans="1:2">
      <c r="A638" s="169">
        <v>45205</v>
      </c>
      <c r="B638" s="170">
        <v>24.21</v>
      </c>
    </row>
    <row r="639" spans="1:2">
      <c r="A639" s="169">
        <v>45204</v>
      </c>
      <c r="B639" s="170">
        <v>24.17</v>
      </c>
    </row>
    <row r="640" spans="1:2">
      <c r="A640" s="169">
        <v>45203</v>
      </c>
      <c r="B640" s="170">
        <v>24.42</v>
      </c>
    </row>
    <row r="641" spans="1:2">
      <c r="A641" s="169">
        <v>45202</v>
      </c>
      <c r="B641" s="170">
        <v>24.02</v>
      </c>
    </row>
    <row r="642" spans="1:2">
      <c r="A642" s="169">
        <v>45201</v>
      </c>
      <c r="B642" s="170">
        <v>24.92</v>
      </c>
    </row>
    <row r="643" spans="1:2">
      <c r="A643" s="169">
        <v>45198</v>
      </c>
      <c r="B643" s="170">
        <v>24.72</v>
      </c>
    </row>
    <row r="644" spans="1:2">
      <c r="A644" s="169">
        <v>45197</v>
      </c>
      <c r="B644" s="170">
        <v>24.62</v>
      </c>
    </row>
    <row r="645" spans="1:2">
      <c r="A645" s="169">
        <v>45196</v>
      </c>
      <c r="B645" s="170">
        <v>24.19</v>
      </c>
    </row>
    <row r="646" spans="1:2">
      <c r="A646" s="169">
        <v>45195</v>
      </c>
      <c r="B646" s="170">
        <v>24.19</v>
      </c>
    </row>
    <row r="647" spans="1:2">
      <c r="A647" s="169">
        <v>45194</v>
      </c>
      <c r="B647" s="170">
        <v>24.53</v>
      </c>
    </row>
    <row r="648" spans="1:2">
      <c r="A648" s="169">
        <v>45191</v>
      </c>
      <c r="B648" s="170">
        <v>24.46</v>
      </c>
    </row>
    <row r="649" spans="1:2">
      <c r="A649" s="169">
        <v>45190</v>
      </c>
      <c r="B649" s="170">
        <v>24.4</v>
      </c>
    </row>
    <row r="650" spans="1:2">
      <c r="A650" s="169">
        <v>45189</v>
      </c>
      <c r="B650" s="170">
        <v>24.53</v>
      </c>
    </row>
    <row r="651" spans="1:2">
      <c r="A651" s="169">
        <v>45188</v>
      </c>
      <c r="B651" s="170">
        <v>25.15</v>
      </c>
    </row>
    <row r="652" spans="1:2">
      <c r="A652" s="169">
        <v>45187</v>
      </c>
      <c r="B652" s="170">
        <v>24.97</v>
      </c>
    </row>
    <row r="653" spans="1:2">
      <c r="A653" s="169">
        <v>45184</v>
      </c>
      <c r="B653" s="170">
        <v>25</v>
      </c>
    </row>
    <row r="654" spans="1:2">
      <c r="A654" s="169">
        <v>45183</v>
      </c>
      <c r="B654" s="170">
        <v>25.11</v>
      </c>
    </row>
    <row r="655" spans="1:2">
      <c r="A655" s="169">
        <v>45182</v>
      </c>
      <c r="B655" s="170">
        <v>24.93</v>
      </c>
    </row>
    <row r="656" spans="1:2">
      <c r="A656" s="169">
        <v>45181</v>
      </c>
      <c r="B656" s="170">
        <v>24.96</v>
      </c>
    </row>
    <row r="657" spans="1:2">
      <c r="A657" s="169">
        <v>45180</v>
      </c>
      <c r="B657" s="170">
        <v>25.04</v>
      </c>
    </row>
    <row r="658" spans="1:2">
      <c r="A658" s="169">
        <v>45177</v>
      </c>
      <c r="B658" s="170">
        <v>24.57</v>
      </c>
    </row>
    <row r="659" spans="1:2">
      <c r="A659" s="169">
        <v>45176</v>
      </c>
      <c r="B659" s="172"/>
    </row>
    <row r="660" spans="1:2">
      <c r="A660" s="169">
        <v>45176</v>
      </c>
      <c r="B660" s="170">
        <v>25.13</v>
      </c>
    </row>
    <row r="661" spans="1:2">
      <c r="A661" s="169">
        <v>45175</v>
      </c>
      <c r="B661" s="170">
        <v>26.36</v>
      </c>
    </row>
    <row r="662" spans="1:2">
      <c r="A662" s="169">
        <v>45174</v>
      </c>
      <c r="B662" s="170">
        <v>26.53</v>
      </c>
    </row>
    <row r="663" spans="1:2">
      <c r="A663" s="169">
        <v>45170</v>
      </c>
      <c r="B663" s="170">
        <v>27.59</v>
      </c>
    </row>
    <row r="664" spans="1:2">
      <c r="A664" s="169">
        <v>45169</v>
      </c>
      <c r="B664" s="170">
        <v>27.44</v>
      </c>
    </row>
    <row r="665" spans="1:2">
      <c r="A665" s="169">
        <v>45168</v>
      </c>
      <c r="B665" s="170">
        <v>27.22</v>
      </c>
    </row>
    <row r="666" spans="1:2">
      <c r="A666" s="169">
        <v>45167</v>
      </c>
      <c r="B666" s="170">
        <v>27.54</v>
      </c>
    </row>
    <row r="667" spans="1:2">
      <c r="A667" s="169">
        <v>45166</v>
      </c>
      <c r="B667" s="170">
        <v>27.23</v>
      </c>
    </row>
    <row r="668" spans="1:2">
      <c r="A668" s="169">
        <v>45163</v>
      </c>
      <c r="B668" s="170">
        <v>26.85</v>
      </c>
    </row>
    <row r="669" spans="1:2">
      <c r="A669" s="169">
        <v>45162</v>
      </c>
      <c r="B669" s="170">
        <v>26.83</v>
      </c>
    </row>
    <row r="670" spans="1:2">
      <c r="A670" s="169">
        <v>45161</v>
      </c>
      <c r="B670" s="170">
        <v>27.29</v>
      </c>
    </row>
    <row r="671" spans="1:2">
      <c r="A671" s="169">
        <v>45160</v>
      </c>
      <c r="B671" s="170">
        <v>26.69</v>
      </c>
    </row>
    <row r="672" spans="1:2">
      <c r="A672" s="169">
        <v>45159</v>
      </c>
      <c r="B672" s="170">
        <v>26.59</v>
      </c>
    </row>
    <row r="673" spans="1:2">
      <c r="A673" s="169">
        <v>45156</v>
      </c>
      <c r="B673" s="170">
        <v>26.41</v>
      </c>
    </row>
    <row r="674" spans="1:2">
      <c r="A674" s="169">
        <v>45155</v>
      </c>
      <c r="B674" s="170">
        <v>26.1</v>
      </c>
    </row>
    <row r="675" spans="1:2">
      <c r="A675" s="169">
        <v>45154</v>
      </c>
      <c r="B675" s="170">
        <v>26.47</v>
      </c>
    </row>
    <row r="676" spans="1:2">
      <c r="A676" s="169">
        <v>45153</v>
      </c>
      <c r="B676" s="170">
        <v>27</v>
      </c>
    </row>
    <row r="677" spans="1:2">
      <c r="A677" s="169">
        <v>45152</v>
      </c>
      <c r="B677" s="170">
        <v>26.83</v>
      </c>
    </row>
    <row r="678" spans="1:2">
      <c r="A678" s="169">
        <v>45149</v>
      </c>
      <c r="B678" s="170">
        <v>26.6</v>
      </c>
    </row>
    <row r="679" spans="1:2">
      <c r="A679" s="169">
        <v>45148</v>
      </c>
      <c r="B679" s="170">
        <v>26.47</v>
      </c>
    </row>
    <row r="680" spans="1:2">
      <c r="A680" s="169">
        <v>45147</v>
      </c>
      <c r="B680" s="170">
        <v>27</v>
      </c>
    </row>
    <row r="681" spans="1:2">
      <c r="A681" s="169">
        <v>45146</v>
      </c>
      <c r="B681" s="170">
        <v>26.77</v>
      </c>
    </row>
    <row r="682" spans="1:2">
      <c r="A682" s="169">
        <v>45145</v>
      </c>
      <c r="B682" s="170">
        <v>27.12</v>
      </c>
    </row>
    <row r="683" spans="1:2">
      <c r="A683" s="169">
        <v>45142</v>
      </c>
      <c r="B683" s="170">
        <v>27.09</v>
      </c>
    </row>
    <row r="684" spans="1:2">
      <c r="A684" s="169">
        <v>45141</v>
      </c>
      <c r="B684" s="170">
        <v>27.52</v>
      </c>
    </row>
    <row r="685" spans="1:2">
      <c r="A685" s="169">
        <v>45140</v>
      </c>
      <c r="B685" s="170">
        <v>27.52</v>
      </c>
    </row>
    <row r="686" spans="1:2">
      <c r="A686" s="169">
        <v>45139</v>
      </c>
      <c r="B686" s="170">
        <v>28.2</v>
      </c>
    </row>
    <row r="687" spans="1:2">
      <c r="A687" s="169">
        <v>45138</v>
      </c>
      <c r="B687" s="170">
        <v>28.15</v>
      </c>
    </row>
    <row r="688" spans="1:2">
      <c r="A688" s="169">
        <v>45135</v>
      </c>
      <c r="B688" s="170">
        <v>28</v>
      </c>
    </row>
    <row r="689" spans="1:2">
      <c r="A689" s="169">
        <v>45134</v>
      </c>
      <c r="B689" s="170">
        <v>28.06</v>
      </c>
    </row>
    <row r="690" spans="1:2">
      <c r="A690" s="169">
        <v>45133</v>
      </c>
      <c r="B690" s="170">
        <v>27.8</v>
      </c>
    </row>
    <row r="691" spans="1:2">
      <c r="A691" s="169">
        <v>45132</v>
      </c>
      <c r="B691" s="170">
        <v>28.35</v>
      </c>
    </row>
    <row r="692" spans="1:2">
      <c r="A692" s="169">
        <v>45131</v>
      </c>
      <c r="B692" s="170">
        <v>28.18</v>
      </c>
    </row>
    <row r="693" spans="1:2">
      <c r="A693" s="169">
        <v>45128</v>
      </c>
      <c r="B693" s="170">
        <v>28.4</v>
      </c>
    </row>
    <row r="694" spans="1:2">
      <c r="A694" s="169">
        <v>45127</v>
      </c>
      <c r="B694" s="170">
        <v>28.56</v>
      </c>
    </row>
    <row r="695" spans="1:2">
      <c r="A695" s="169">
        <v>45126</v>
      </c>
      <c r="B695" s="170">
        <v>29.41</v>
      </c>
    </row>
    <row r="696" spans="1:2">
      <c r="A696" s="169">
        <v>45125</v>
      </c>
      <c r="B696" s="170">
        <v>29.99</v>
      </c>
    </row>
    <row r="697" spans="1:2">
      <c r="A697" s="169">
        <v>45124</v>
      </c>
      <c r="B697" s="170">
        <v>29.49</v>
      </c>
    </row>
    <row r="698" spans="1:2">
      <c r="A698" s="169">
        <v>45121</v>
      </c>
      <c r="B698" s="170">
        <v>29.37</v>
      </c>
    </row>
    <row r="699" spans="1:2">
      <c r="A699" s="169">
        <v>45120</v>
      </c>
      <c r="B699" s="170">
        <v>29.81</v>
      </c>
    </row>
    <row r="700" spans="1:2">
      <c r="A700" s="169">
        <v>45119</v>
      </c>
      <c r="B700" s="170">
        <v>29.19</v>
      </c>
    </row>
    <row r="701" spans="1:2">
      <c r="A701" s="169">
        <v>45118</v>
      </c>
      <c r="B701" s="170">
        <v>28.82</v>
      </c>
    </row>
    <row r="702" spans="1:2">
      <c r="A702" s="169">
        <v>45117</v>
      </c>
      <c r="B702" s="170">
        <v>28.7</v>
      </c>
    </row>
    <row r="703" spans="1:2">
      <c r="A703" s="169">
        <v>45114</v>
      </c>
      <c r="B703" s="170">
        <v>28.51</v>
      </c>
    </row>
    <row r="704" spans="1:2">
      <c r="A704" s="169">
        <v>45113</v>
      </c>
      <c r="B704" s="170">
        <v>28.67</v>
      </c>
    </row>
    <row r="705" spans="1:2">
      <c r="A705" s="169">
        <v>45112</v>
      </c>
      <c r="B705" s="170">
        <v>29.16</v>
      </c>
    </row>
    <row r="706" spans="1:2">
      <c r="A706" s="169">
        <v>45110</v>
      </c>
      <c r="B706" s="170">
        <v>29.61</v>
      </c>
    </row>
    <row r="707" spans="1:2">
      <c r="A707" s="169">
        <v>45107</v>
      </c>
      <c r="B707" s="170">
        <v>29.4</v>
      </c>
    </row>
    <row r="708" spans="1:2">
      <c r="A708" s="169">
        <v>45106</v>
      </c>
      <c r="B708" s="170">
        <v>29.04</v>
      </c>
    </row>
    <row r="709" spans="1:2">
      <c r="A709" s="169">
        <v>45105</v>
      </c>
      <c r="B709" s="170">
        <v>28.48</v>
      </c>
    </row>
    <row r="710" spans="1:2">
      <c r="A710" s="169">
        <v>45104</v>
      </c>
      <c r="B710" s="170">
        <v>28.5</v>
      </c>
    </row>
    <row r="711" spans="1:2">
      <c r="A711" s="169">
        <v>45103</v>
      </c>
      <c r="B711" s="170">
        <v>28.06</v>
      </c>
    </row>
    <row r="712" spans="1:2">
      <c r="A712" s="169">
        <v>45100</v>
      </c>
      <c r="B712" s="170">
        <v>27.78</v>
      </c>
    </row>
    <row r="713" spans="1:2">
      <c r="A713" s="169">
        <v>45099</v>
      </c>
      <c r="B713" s="170">
        <v>27.95</v>
      </c>
    </row>
    <row r="714" spans="1:2">
      <c r="A714" s="169">
        <v>45098</v>
      </c>
      <c r="B714" s="170">
        <v>27.9</v>
      </c>
    </row>
    <row r="715" spans="1:2">
      <c r="A715" s="169">
        <v>45097</v>
      </c>
      <c r="B715" s="170">
        <v>28.02</v>
      </c>
    </row>
    <row r="716" spans="1:2">
      <c r="A716" s="169">
        <v>45093</v>
      </c>
      <c r="B716" s="170">
        <v>27.78</v>
      </c>
    </row>
    <row r="717" spans="1:2">
      <c r="A717" s="169">
        <v>45092</v>
      </c>
      <c r="B717" s="172"/>
    </row>
    <row r="718" spans="1:2">
      <c r="A718" s="169">
        <v>45092</v>
      </c>
      <c r="B718" s="170">
        <v>27.71</v>
      </c>
    </row>
    <row r="719" spans="1:2">
      <c r="A719" s="169">
        <v>45091</v>
      </c>
      <c r="B719" s="170">
        <v>27.82</v>
      </c>
    </row>
    <row r="720" spans="1:2">
      <c r="A720" s="169">
        <v>45090</v>
      </c>
      <c r="B720" s="170">
        <v>27.85</v>
      </c>
    </row>
    <row r="721" spans="1:2">
      <c r="A721" s="169">
        <v>45089</v>
      </c>
      <c r="B721" s="170">
        <v>27.58</v>
      </c>
    </row>
    <row r="722" spans="1:2">
      <c r="A722" s="169">
        <v>45086</v>
      </c>
      <c r="B722" s="170">
        <v>27.3</v>
      </c>
    </row>
    <row r="723" spans="1:2">
      <c r="A723" s="169">
        <v>45085</v>
      </c>
      <c r="B723" s="170">
        <v>27.42</v>
      </c>
    </row>
    <row r="724" spans="1:2">
      <c r="A724" s="169">
        <v>45084</v>
      </c>
      <c r="B724" s="170">
        <v>27.22</v>
      </c>
    </row>
    <row r="725" spans="1:2">
      <c r="A725" s="169">
        <v>45083</v>
      </c>
      <c r="B725" s="170">
        <v>26.46</v>
      </c>
    </row>
    <row r="726" spans="1:2">
      <c r="A726" s="169">
        <v>45082</v>
      </c>
      <c r="B726" s="170">
        <v>25.87</v>
      </c>
    </row>
    <row r="727" spans="1:2">
      <c r="A727" s="169">
        <v>45079</v>
      </c>
      <c r="B727" s="170">
        <v>26.56</v>
      </c>
    </row>
    <row r="728" spans="1:2">
      <c r="A728" s="169">
        <v>45078</v>
      </c>
      <c r="B728" s="170">
        <v>25.96</v>
      </c>
    </row>
    <row r="729" spans="1:2">
      <c r="A729" s="169">
        <v>45077</v>
      </c>
      <c r="B729" s="170">
        <v>25.78</v>
      </c>
    </row>
    <row r="730" spans="1:2">
      <c r="A730" s="169">
        <v>45076</v>
      </c>
      <c r="B730" s="170">
        <v>26.18</v>
      </c>
    </row>
    <row r="731" spans="1:2">
      <c r="A731" s="169">
        <v>45072</v>
      </c>
      <c r="B731" s="170">
        <v>26.51</v>
      </c>
    </row>
    <row r="732" spans="1:2">
      <c r="A732" s="169">
        <v>45071</v>
      </c>
      <c r="B732" s="170">
        <v>25.97</v>
      </c>
    </row>
    <row r="733" spans="1:2">
      <c r="A733" s="169">
        <v>45070</v>
      </c>
      <c r="B733" s="170">
        <v>25.15</v>
      </c>
    </row>
    <row r="734" spans="1:2">
      <c r="A734" s="169">
        <v>45069</v>
      </c>
      <c r="B734" s="170">
        <v>25.48</v>
      </c>
    </row>
    <row r="735" spans="1:2">
      <c r="A735" s="169">
        <v>45068</v>
      </c>
      <c r="B735" s="170">
        <v>25.48</v>
      </c>
    </row>
    <row r="736" spans="1:2">
      <c r="A736" s="169">
        <v>45065</v>
      </c>
      <c r="B736" s="170">
        <v>25.38</v>
      </c>
    </row>
    <row r="737" spans="1:2">
      <c r="A737" s="169">
        <v>45064</v>
      </c>
      <c r="B737" s="170">
        <v>25.39</v>
      </c>
    </row>
    <row r="738" spans="1:2">
      <c r="A738" s="169">
        <v>45063</v>
      </c>
      <c r="B738" s="170">
        <v>24.96</v>
      </c>
    </row>
    <row r="739" spans="1:2">
      <c r="A739" s="169">
        <v>45062</v>
      </c>
      <c r="B739" s="170">
        <v>24.37</v>
      </c>
    </row>
    <row r="740" spans="1:2">
      <c r="A740" s="169">
        <v>45061</v>
      </c>
      <c r="B740" s="170">
        <v>24.3</v>
      </c>
    </row>
    <row r="741" spans="1:2">
      <c r="A741" s="169">
        <v>45058</v>
      </c>
      <c r="B741" s="170">
        <v>24.1</v>
      </c>
    </row>
    <row r="742" spans="1:2">
      <c r="A742" s="169">
        <v>45057</v>
      </c>
      <c r="B742" s="170">
        <v>24.39</v>
      </c>
    </row>
    <row r="743" spans="1:2">
      <c r="A743" s="169">
        <v>45056</v>
      </c>
      <c r="B743" s="170">
        <v>24.7</v>
      </c>
    </row>
    <row r="744" spans="1:2">
      <c r="A744" s="169">
        <v>45055</v>
      </c>
      <c r="B744" s="170">
        <v>21.15</v>
      </c>
    </row>
    <row r="745" spans="1:2">
      <c r="A745" s="169">
        <v>45054</v>
      </c>
      <c r="B745" s="170">
        <v>21.5</v>
      </c>
    </row>
    <row r="746" spans="1:2">
      <c r="A746" s="169">
        <v>45051</v>
      </c>
      <c r="B746" s="170">
        <v>21.54</v>
      </c>
    </row>
    <row r="747" spans="1:2">
      <c r="A747" s="169">
        <v>45050</v>
      </c>
      <c r="B747" s="170">
        <v>21.03</v>
      </c>
    </row>
    <row r="748" spans="1:2">
      <c r="A748" s="169">
        <v>45049</v>
      </c>
      <c r="B748" s="170">
        <v>21.24</v>
      </c>
    </row>
    <row r="749" spans="1:2">
      <c r="A749" s="169">
        <v>45048</v>
      </c>
      <c r="B749" s="170">
        <v>21.15</v>
      </c>
    </row>
    <row r="750" spans="1:2">
      <c r="A750" s="169">
        <v>45047</v>
      </c>
      <c r="B750" s="170">
        <v>21.31</v>
      </c>
    </row>
    <row r="751" spans="1:2">
      <c r="A751" s="169">
        <v>45044</v>
      </c>
      <c r="B751" s="170">
        <v>21.29</v>
      </c>
    </row>
    <row r="752" spans="1:2">
      <c r="A752" s="169">
        <v>45043</v>
      </c>
      <c r="B752" s="170">
        <v>21.22</v>
      </c>
    </row>
    <row r="753" spans="1:2">
      <c r="A753" s="169">
        <v>45042</v>
      </c>
      <c r="B753" s="170">
        <v>20.87</v>
      </c>
    </row>
    <row r="754" spans="1:2">
      <c r="A754" s="169">
        <v>45041</v>
      </c>
      <c r="B754" s="170">
        <v>20.87</v>
      </c>
    </row>
    <row r="755" spans="1:2">
      <c r="A755" s="169">
        <v>45040</v>
      </c>
      <c r="B755" s="170">
        <v>21</v>
      </c>
    </row>
    <row r="756" spans="1:2">
      <c r="A756" s="169">
        <v>45037</v>
      </c>
      <c r="B756" s="170">
        <v>21.25</v>
      </c>
    </row>
    <row r="757" spans="1:2">
      <c r="A757" s="169">
        <v>45036</v>
      </c>
      <c r="B757" s="170">
        <v>21.24</v>
      </c>
    </row>
    <row r="758" spans="1:2">
      <c r="A758" s="169">
        <v>45035</v>
      </c>
      <c r="B758" s="170">
        <v>21.27</v>
      </c>
    </row>
    <row r="759" spans="1:2">
      <c r="A759" s="169">
        <v>45034</v>
      </c>
      <c r="B759" s="170">
        <v>21.53</v>
      </c>
    </row>
    <row r="760" spans="1:2">
      <c r="A760" s="169">
        <v>45033</v>
      </c>
      <c r="B760" s="170">
        <v>21.72</v>
      </c>
    </row>
    <row r="761" spans="1:2">
      <c r="A761" s="169">
        <v>45030</v>
      </c>
      <c r="B761" s="170">
        <v>21.64</v>
      </c>
    </row>
    <row r="762" spans="1:2">
      <c r="A762" s="169">
        <v>45029</v>
      </c>
      <c r="B762" s="170">
        <v>21.84</v>
      </c>
    </row>
    <row r="763" spans="1:2">
      <c r="A763" s="169">
        <v>45028</v>
      </c>
      <c r="B763" s="170">
        <v>21.53</v>
      </c>
    </row>
    <row r="764" spans="1:2">
      <c r="A764" s="169">
        <v>45027</v>
      </c>
      <c r="B764" s="170">
        <v>21.64</v>
      </c>
    </row>
    <row r="765" spans="1:2">
      <c r="A765" s="169">
        <v>45026</v>
      </c>
      <c r="B765" s="170">
        <v>21.79</v>
      </c>
    </row>
    <row r="766" spans="1:2">
      <c r="A766" s="169">
        <v>45022</v>
      </c>
      <c r="B766" s="170">
        <v>21.38</v>
      </c>
    </row>
    <row r="767" spans="1:2">
      <c r="A767" s="169">
        <v>45021</v>
      </c>
      <c r="B767" s="170">
        <v>21.52</v>
      </c>
    </row>
    <row r="768" spans="1:2">
      <c r="A768" s="169">
        <v>45020</v>
      </c>
      <c r="B768" s="170">
        <v>21.66</v>
      </c>
    </row>
    <row r="769" spans="1:2">
      <c r="A769" s="169">
        <v>45019</v>
      </c>
      <c r="B769" s="170">
        <v>22.33</v>
      </c>
    </row>
    <row r="770" spans="1:2">
      <c r="A770" s="169">
        <v>45016</v>
      </c>
      <c r="B770" s="170">
        <v>22.62</v>
      </c>
    </row>
    <row r="771" spans="1:2">
      <c r="A771" s="169">
        <v>45015</v>
      </c>
      <c r="B771" s="170">
        <v>22.27</v>
      </c>
    </row>
    <row r="772" spans="1:2">
      <c r="A772" s="169">
        <v>45014</v>
      </c>
      <c r="B772" s="170">
        <v>22.03</v>
      </c>
    </row>
    <row r="773" spans="1:2">
      <c r="A773" s="169">
        <v>45013</v>
      </c>
      <c r="B773" s="170">
        <v>21.8</v>
      </c>
    </row>
    <row r="774" spans="1:2">
      <c r="A774" s="169">
        <v>45012</v>
      </c>
      <c r="B774" s="170">
        <v>21.92</v>
      </c>
    </row>
    <row r="775" spans="1:2">
      <c r="A775" s="169">
        <v>45009</v>
      </c>
      <c r="B775" s="170">
        <v>21.67</v>
      </c>
    </row>
    <row r="776" spans="1:2">
      <c r="A776" s="169">
        <v>45008</v>
      </c>
      <c r="B776" s="170">
        <v>21.59</v>
      </c>
    </row>
    <row r="777" spans="1:2">
      <c r="A777" s="169">
        <v>45007</v>
      </c>
      <c r="B777" s="170">
        <v>21.39</v>
      </c>
    </row>
    <row r="778" spans="1:2">
      <c r="A778" s="169">
        <v>45006</v>
      </c>
      <c r="B778" s="170">
        <v>21.56</v>
      </c>
    </row>
    <row r="779" spans="1:2">
      <c r="A779" s="169">
        <v>45005</v>
      </c>
      <c r="B779" s="170">
        <v>21.51</v>
      </c>
    </row>
    <row r="780" spans="1:2">
      <c r="A780" s="169">
        <v>45002</v>
      </c>
      <c r="B780" s="170">
        <v>21</v>
      </c>
    </row>
    <row r="781" spans="1:2">
      <c r="A781" s="169">
        <v>45001</v>
      </c>
      <c r="B781" s="172"/>
    </row>
    <row r="782" spans="1:2">
      <c r="A782" s="169">
        <v>45001</v>
      </c>
      <c r="B782" s="170">
        <v>21.62</v>
      </c>
    </row>
    <row r="783" spans="1:2">
      <c r="A783" s="169">
        <v>45000</v>
      </c>
      <c r="B783" s="170">
        <v>21.26</v>
      </c>
    </row>
    <row r="784" spans="1:2">
      <c r="A784" s="169">
        <v>44999</v>
      </c>
      <c r="B784" s="170">
        <v>21.98</v>
      </c>
    </row>
    <row r="785" spans="1:2">
      <c r="A785" s="169">
        <v>44998</v>
      </c>
      <c r="B785" s="170">
        <v>21.24</v>
      </c>
    </row>
    <row r="786" spans="1:2">
      <c r="A786" s="169">
        <v>44995</v>
      </c>
      <c r="B786" s="170">
        <v>21.41</v>
      </c>
    </row>
    <row r="787" spans="1:2">
      <c r="A787" s="169">
        <v>44994</v>
      </c>
      <c r="B787" s="170">
        <v>21.62</v>
      </c>
    </row>
    <row r="788" spans="1:2">
      <c r="A788" s="169">
        <v>44993</v>
      </c>
      <c r="B788" s="170">
        <v>21.76</v>
      </c>
    </row>
    <row r="789" spans="1:2">
      <c r="A789" s="169">
        <v>44992</v>
      </c>
      <c r="B789" s="170">
        <v>21.29</v>
      </c>
    </row>
    <row r="790" spans="1:2">
      <c r="A790" s="169">
        <v>44991</v>
      </c>
      <c r="B790" s="170">
        <v>21.5</v>
      </c>
    </row>
    <row r="791" spans="1:2">
      <c r="A791" s="169">
        <v>44988</v>
      </c>
      <c r="B791" s="170">
        <v>21.72</v>
      </c>
    </row>
    <row r="792" spans="1:2">
      <c r="A792" s="169">
        <v>44987</v>
      </c>
      <c r="B792" s="170">
        <v>21.64</v>
      </c>
    </row>
    <row r="793" spans="1:2">
      <c r="A793" s="169">
        <v>44986</v>
      </c>
      <c r="B793" s="170">
        <v>21.44</v>
      </c>
    </row>
    <row r="794" spans="1:2">
      <c r="A794" s="169">
        <v>44985</v>
      </c>
      <c r="B794" s="170">
        <v>21.23</v>
      </c>
    </row>
    <row r="795" spans="1:2">
      <c r="A795" s="169">
        <v>44984</v>
      </c>
      <c r="B795" s="170">
        <v>21.27</v>
      </c>
    </row>
    <row r="796" spans="1:2">
      <c r="A796" s="169">
        <v>44981</v>
      </c>
      <c r="B796" s="170">
        <v>21.13</v>
      </c>
    </row>
    <row r="797" spans="1:2">
      <c r="A797" s="169">
        <v>44980</v>
      </c>
      <c r="B797" s="170">
        <v>21.25</v>
      </c>
    </row>
    <row r="798" spans="1:2">
      <c r="A798" s="169">
        <v>44979</v>
      </c>
      <c r="B798" s="170">
        <v>21.13</v>
      </c>
    </row>
    <row r="799" spans="1:2">
      <c r="A799" s="169">
        <v>44978</v>
      </c>
      <c r="B799" s="170">
        <v>20.95</v>
      </c>
    </row>
    <row r="800" spans="1:2">
      <c r="A800" s="169">
        <v>44974</v>
      </c>
      <c r="B800" s="170">
        <v>21.39</v>
      </c>
    </row>
    <row r="801" spans="1:2">
      <c r="A801" s="169">
        <v>44973</v>
      </c>
      <c r="B801" s="170">
        <v>21.58</v>
      </c>
    </row>
    <row r="802" spans="1:2">
      <c r="A802" s="169">
        <v>44972</v>
      </c>
      <c r="B802" s="170">
        <v>21.59</v>
      </c>
    </row>
    <row r="803" spans="1:2">
      <c r="A803" s="169">
        <v>44971</v>
      </c>
      <c r="B803" s="170">
        <v>21.01</v>
      </c>
    </row>
    <row r="804" spans="1:2">
      <c r="A804" s="169">
        <v>44970</v>
      </c>
      <c r="B804" s="170">
        <v>20.98</v>
      </c>
    </row>
    <row r="805" spans="1:2">
      <c r="A805" s="169">
        <v>44967</v>
      </c>
      <c r="B805" s="170">
        <v>20.77</v>
      </c>
    </row>
    <row r="806" spans="1:2">
      <c r="A806" s="169">
        <v>44966</v>
      </c>
      <c r="B806" s="170">
        <v>20.84</v>
      </c>
    </row>
    <row r="807" spans="1:2">
      <c r="A807" s="169">
        <v>44965</v>
      </c>
      <c r="B807" s="170">
        <v>21.09</v>
      </c>
    </row>
    <row r="808" spans="1:2">
      <c r="A808" s="169">
        <v>44964</v>
      </c>
      <c r="B808" s="170">
        <v>24.02</v>
      </c>
    </row>
    <row r="809" spans="1:2">
      <c r="A809" s="169">
        <v>44963</v>
      </c>
      <c r="B809" s="170">
        <v>23.91</v>
      </c>
    </row>
    <row r="810" spans="1:2">
      <c r="A810" s="169">
        <v>44960</v>
      </c>
      <c r="B810" s="170">
        <v>24.22</v>
      </c>
    </row>
    <row r="811" spans="1:2">
      <c r="A811" s="169">
        <v>44959</v>
      </c>
      <c r="B811" s="170">
        <v>24.28</v>
      </c>
    </row>
    <row r="812" spans="1:2">
      <c r="A812" s="169">
        <v>44958</v>
      </c>
      <c r="B812" s="170">
        <v>23.47</v>
      </c>
    </row>
    <row r="813" spans="1:2">
      <c r="A813" s="169">
        <v>44957</v>
      </c>
      <c r="B813" s="170">
        <v>22.89</v>
      </c>
    </row>
    <row r="814" spans="1:2">
      <c r="A814" s="169">
        <v>44956</v>
      </c>
      <c r="B814" s="170">
        <v>22.55</v>
      </c>
    </row>
    <row r="815" spans="1:2">
      <c r="A815" s="169">
        <v>44953</v>
      </c>
      <c r="B815" s="170">
        <v>22.79</v>
      </c>
    </row>
    <row r="816" spans="1:2">
      <c r="A816" s="169">
        <v>44952</v>
      </c>
      <c r="B816" s="170">
        <v>23.04</v>
      </c>
    </row>
    <row r="817" spans="1:2">
      <c r="A817" s="169">
        <v>44951</v>
      </c>
      <c r="B817" s="170">
        <v>22.94</v>
      </c>
    </row>
    <row r="818" spans="1:2">
      <c r="A818" s="169">
        <v>44950</v>
      </c>
      <c r="B818" s="170">
        <v>22.92</v>
      </c>
    </row>
    <row r="819" spans="1:2">
      <c r="A819" s="169">
        <v>44949</v>
      </c>
      <c r="B819" s="170">
        <v>22.59</v>
      </c>
    </row>
    <row r="820" spans="1:2">
      <c r="A820" s="169">
        <v>44946</v>
      </c>
      <c r="B820" s="170">
        <v>22.18</v>
      </c>
    </row>
    <row r="821" spans="1:2">
      <c r="A821" s="169">
        <v>44945</v>
      </c>
      <c r="B821" s="170">
        <v>21.92</v>
      </c>
    </row>
    <row r="822" spans="1:2">
      <c r="A822" s="169">
        <v>44944</v>
      </c>
      <c r="B822" s="170">
        <v>22.33</v>
      </c>
    </row>
    <row r="823" spans="1:2">
      <c r="A823" s="169">
        <v>44943</v>
      </c>
      <c r="B823" s="170">
        <v>22.86</v>
      </c>
    </row>
    <row r="824" spans="1:2">
      <c r="A824" s="169">
        <v>44939</v>
      </c>
      <c r="B824" s="170">
        <v>22.96</v>
      </c>
    </row>
    <row r="825" spans="1:2">
      <c r="A825" s="169">
        <v>44938</v>
      </c>
      <c r="B825" s="170">
        <v>22.66</v>
      </c>
    </row>
    <row r="826" spans="1:2">
      <c r="A826" s="169">
        <v>44937</v>
      </c>
      <c r="B826" s="170">
        <v>22.46</v>
      </c>
    </row>
    <row r="827" spans="1:2">
      <c r="A827" s="169">
        <v>44936</v>
      </c>
      <c r="B827" s="170">
        <v>22.61</v>
      </c>
    </row>
    <row r="828" spans="1:2">
      <c r="A828" s="169">
        <v>44935</v>
      </c>
      <c r="B828" s="170">
        <v>22.32</v>
      </c>
    </row>
    <row r="829" spans="1:2">
      <c r="A829" s="169">
        <v>44932</v>
      </c>
      <c r="B829" s="170">
        <v>22.22</v>
      </c>
    </row>
    <row r="830" spans="1:2">
      <c r="A830" s="169">
        <v>44931</v>
      </c>
      <c r="B830" s="170">
        <v>21.48</v>
      </c>
    </row>
    <row r="831" spans="1:2">
      <c r="A831" s="169">
        <v>44930</v>
      </c>
      <c r="B831" s="170">
        <v>21.66</v>
      </c>
    </row>
    <row r="832" spans="1:2">
      <c r="A832" s="169">
        <v>44929</v>
      </c>
      <c r="B832" s="170">
        <v>21.48</v>
      </c>
    </row>
    <row r="833" spans="1:2">
      <c r="A833" s="169">
        <v>44925</v>
      </c>
      <c r="B833" s="170">
        <v>21.57</v>
      </c>
    </row>
    <row r="834" spans="1:2">
      <c r="A834" s="169">
        <v>44924</v>
      </c>
      <c r="B834" s="170">
        <v>21.67</v>
      </c>
    </row>
    <row r="835" spans="1:2">
      <c r="A835" s="169">
        <v>44923</v>
      </c>
      <c r="B835" s="170">
        <v>21.01</v>
      </c>
    </row>
    <row r="836" spans="1:2">
      <c r="A836" s="169">
        <v>44922</v>
      </c>
      <c r="B836" s="170">
        <v>21.38</v>
      </c>
    </row>
    <row r="837" spans="1:2">
      <c r="A837" s="169">
        <v>44918</v>
      </c>
      <c r="B837" s="170">
        <v>21.37</v>
      </c>
    </row>
    <row r="838" spans="1:2">
      <c r="A838" s="169">
        <v>44917</v>
      </c>
      <c r="B838" s="170">
        <v>21.25</v>
      </c>
    </row>
    <row r="839" spans="1:2">
      <c r="A839" s="169">
        <v>44916</v>
      </c>
      <c r="B839" s="170">
        <v>21.61</v>
      </c>
    </row>
    <row r="840" spans="1:2">
      <c r="A840" s="169">
        <v>44915</v>
      </c>
      <c r="B840" s="170">
        <v>21.29</v>
      </c>
    </row>
    <row r="841" spans="1:2">
      <c r="A841" s="169">
        <v>44914</v>
      </c>
      <c r="B841" s="170">
        <v>21.25</v>
      </c>
    </row>
    <row r="842" spans="1:2">
      <c r="A842" s="169">
        <v>44911</v>
      </c>
      <c r="B842" s="170">
        <v>21.6</v>
      </c>
    </row>
    <row r="843" spans="1:2">
      <c r="A843" s="169">
        <v>44910</v>
      </c>
      <c r="B843" s="170">
        <v>21.59</v>
      </c>
    </row>
    <row r="844" spans="1:2">
      <c r="A844" s="169">
        <v>44909</v>
      </c>
      <c r="B844" s="170">
        <v>22.31</v>
      </c>
    </row>
    <row r="845" spans="1:2">
      <c r="A845" s="169">
        <v>44908</v>
      </c>
      <c r="B845" s="170">
        <v>22.71</v>
      </c>
    </row>
    <row r="846" spans="1:2">
      <c r="A846" s="169">
        <v>44907</v>
      </c>
      <c r="B846" s="170">
        <v>22.46</v>
      </c>
    </row>
    <row r="847" spans="1:2">
      <c r="A847" s="169">
        <v>44904</v>
      </c>
      <c r="B847" s="170">
        <v>22.1</v>
      </c>
    </row>
    <row r="848" spans="1:2">
      <c r="A848" s="169">
        <v>44903</v>
      </c>
      <c r="B848" s="170">
        <v>22.26</v>
      </c>
    </row>
    <row r="849" spans="1:2">
      <c r="A849" s="169">
        <v>44902</v>
      </c>
      <c r="B849" s="170">
        <v>22.05</v>
      </c>
    </row>
    <row r="850" spans="1:2">
      <c r="A850" s="169">
        <v>44901</v>
      </c>
      <c r="B850" s="170">
        <v>21.98</v>
      </c>
    </row>
    <row r="851" spans="1:2">
      <c r="A851" s="169">
        <v>44900</v>
      </c>
      <c r="B851" s="170">
        <v>22.35</v>
      </c>
    </row>
    <row r="852" spans="1:2">
      <c r="A852" s="169">
        <v>44897</v>
      </c>
      <c r="B852" s="170">
        <v>23.04</v>
      </c>
    </row>
    <row r="853" spans="1:2">
      <c r="A853" s="169">
        <v>44896</v>
      </c>
      <c r="B853" s="170">
        <v>23.09</v>
      </c>
    </row>
    <row r="854" spans="1:2">
      <c r="A854" s="169">
        <v>44895</v>
      </c>
      <c r="B854" s="170">
        <v>23.04</v>
      </c>
    </row>
    <row r="855" spans="1:2">
      <c r="A855" s="169">
        <v>44894</v>
      </c>
      <c r="B855" s="172"/>
    </row>
    <row r="856" spans="1:2">
      <c r="A856" s="169">
        <v>44894</v>
      </c>
      <c r="B856" s="170">
        <v>22.05</v>
      </c>
    </row>
    <row r="857" spans="1:2">
      <c r="A857" s="169">
        <v>44893</v>
      </c>
      <c r="B857" s="170">
        <v>21.99</v>
      </c>
    </row>
    <row r="858" spans="1:2">
      <c r="A858" s="169">
        <v>44890</v>
      </c>
      <c r="B858" s="170">
        <v>22.45</v>
      </c>
    </row>
    <row r="859" spans="1:2">
      <c r="A859" s="169">
        <v>44888</v>
      </c>
      <c r="B859" s="170">
        <v>22.64</v>
      </c>
    </row>
    <row r="860" spans="1:2">
      <c r="A860" s="169">
        <v>44887</v>
      </c>
      <c r="B860" s="170">
        <v>22.67</v>
      </c>
    </row>
    <row r="861" spans="1:2">
      <c r="A861" s="169">
        <v>44886</v>
      </c>
      <c r="B861" s="170">
        <v>22.53</v>
      </c>
    </row>
    <row r="862" spans="1:2">
      <c r="A862" s="169">
        <v>44883</v>
      </c>
      <c r="B862" s="170">
        <v>22.83</v>
      </c>
    </row>
    <row r="863" spans="1:2">
      <c r="A863" s="169">
        <v>44882</v>
      </c>
      <c r="B863" s="170">
        <v>22.6</v>
      </c>
    </row>
    <row r="864" spans="1:2">
      <c r="A864" s="169">
        <v>44881</v>
      </c>
      <c r="B864" s="170">
        <v>22.3</v>
      </c>
    </row>
    <row r="865" spans="1:2">
      <c r="A865" s="169">
        <v>44880</v>
      </c>
      <c r="B865" s="170">
        <v>22.56</v>
      </c>
    </row>
    <row r="866" spans="1:2">
      <c r="A866" s="169">
        <v>44879</v>
      </c>
      <c r="B866" s="170">
        <v>21.89</v>
      </c>
    </row>
    <row r="867" spans="1:2">
      <c r="A867" s="169">
        <v>44876</v>
      </c>
      <c r="B867" s="170">
        <v>22.19</v>
      </c>
    </row>
    <row r="868" spans="1:2">
      <c r="A868" s="169">
        <v>44875</v>
      </c>
      <c r="B868" s="170">
        <v>22.06</v>
      </c>
    </row>
    <row r="869" spans="1:2">
      <c r="A869" s="169">
        <v>44874</v>
      </c>
      <c r="B869" s="170">
        <v>21.2</v>
      </c>
    </row>
    <row r="870" spans="1:2">
      <c r="A870" s="169">
        <v>44873</v>
      </c>
      <c r="B870" s="170">
        <v>21.64</v>
      </c>
    </row>
    <row r="871" spans="1:2">
      <c r="A871" s="169">
        <v>44872</v>
      </c>
      <c r="B871" s="170">
        <v>21.43</v>
      </c>
    </row>
    <row r="872" spans="1:2">
      <c r="A872" s="169">
        <v>44869</v>
      </c>
      <c r="B872" s="170">
        <v>21.06</v>
      </c>
    </row>
    <row r="873" spans="1:2">
      <c r="A873" s="169">
        <v>44868</v>
      </c>
      <c r="B873" s="170">
        <v>20.09</v>
      </c>
    </row>
    <row r="874" spans="1:2">
      <c r="A874" s="169">
        <v>44867</v>
      </c>
      <c r="B874" s="170">
        <v>20.03</v>
      </c>
    </row>
    <row r="875" spans="1:2">
      <c r="A875" s="169">
        <v>44866</v>
      </c>
      <c r="B875" s="170">
        <v>21.41</v>
      </c>
    </row>
    <row r="876" spans="1:2">
      <c r="A876" s="169">
        <v>44865</v>
      </c>
      <c r="B876" s="170">
        <v>20.91</v>
      </c>
    </row>
    <row r="877" spans="1:2">
      <c r="A877" s="169">
        <v>44862</v>
      </c>
      <c r="B877" s="170">
        <v>21.09</v>
      </c>
    </row>
    <row r="878" spans="1:2">
      <c r="A878" s="169">
        <v>44861</v>
      </c>
      <c r="B878" s="170">
        <v>20.440000000000001</v>
      </c>
    </row>
    <row r="879" spans="1:2">
      <c r="A879" s="169">
        <v>44860</v>
      </c>
      <c r="B879" s="170">
        <v>20.61</v>
      </c>
    </row>
    <row r="880" spans="1:2">
      <c r="A880" s="169">
        <v>44859</v>
      </c>
      <c r="B880" s="170">
        <v>20.71</v>
      </c>
    </row>
    <row r="881" spans="1:2">
      <c r="A881" s="169">
        <v>44858</v>
      </c>
      <c r="B881" s="170">
        <v>20.43</v>
      </c>
    </row>
    <row r="882" spans="1:2">
      <c r="A882" s="169">
        <v>44855</v>
      </c>
      <c r="B882" s="170">
        <v>20.37</v>
      </c>
    </row>
    <row r="883" spans="1:2">
      <c r="A883" s="169">
        <v>44854</v>
      </c>
      <c r="B883" s="170">
        <v>19.46</v>
      </c>
    </row>
    <row r="884" spans="1:2">
      <c r="A884" s="169">
        <v>44853</v>
      </c>
      <c r="B884" s="170">
        <v>19.48</v>
      </c>
    </row>
    <row r="885" spans="1:2">
      <c r="A885" s="169">
        <v>44852</v>
      </c>
      <c r="B885" s="170">
        <v>19.45</v>
      </c>
    </row>
    <row r="886" spans="1:2">
      <c r="A886" s="169">
        <v>44851</v>
      </c>
      <c r="B886" s="170">
        <v>18.89</v>
      </c>
    </row>
    <row r="887" spans="1:2">
      <c r="A887" s="169">
        <v>44848</v>
      </c>
      <c r="B887" s="170">
        <v>18.39</v>
      </c>
    </row>
    <row r="888" spans="1:2">
      <c r="A888" s="169">
        <v>44847</v>
      </c>
      <c r="B888" s="170">
        <v>18.84</v>
      </c>
    </row>
    <row r="889" spans="1:2">
      <c r="A889" s="169">
        <v>44846</v>
      </c>
      <c r="B889" s="170">
        <v>18.09</v>
      </c>
    </row>
    <row r="890" spans="1:2">
      <c r="A890" s="169">
        <v>44845</v>
      </c>
      <c r="B890" s="170">
        <v>18.14</v>
      </c>
    </row>
    <row r="891" spans="1:2">
      <c r="A891" s="169">
        <v>44844</v>
      </c>
      <c r="B891" s="170">
        <v>18.420000000000002</v>
      </c>
    </row>
    <row r="892" spans="1:2">
      <c r="A892" s="169">
        <v>44841</v>
      </c>
      <c r="B892" s="170">
        <v>18.88</v>
      </c>
    </row>
    <row r="893" spans="1:2">
      <c r="A893" s="169">
        <v>44840</v>
      </c>
      <c r="B893" s="170">
        <v>19.52</v>
      </c>
    </row>
    <row r="894" spans="1:2">
      <c r="A894" s="169">
        <v>44839</v>
      </c>
      <c r="B894" s="170">
        <v>19.45</v>
      </c>
    </row>
    <row r="895" spans="1:2">
      <c r="A895" s="169">
        <v>44838</v>
      </c>
      <c r="B895" s="170">
        <v>19.28</v>
      </c>
    </row>
    <row r="896" spans="1:2">
      <c r="A896" s="169">
        <v>44837</v>
      </c>
      <c r="B896" s="170">
        <v>18.47</v>
      </c>
    </row>
    <row r="897" spans="1:2">
      <c r="A897" s="169">
        <v>44834</v>
      </c>
      <c r="B897" s="170">
        <v>17.79</v>
      </c>
    </row>
    <row r="898" spans="1:2">
      <c r="A898" s="169">
        <v>44833</v>
      </c>
      <c r="B898" s="170">
        <v>18.09</v>
      </c>
    </row>
    <row r="899" spans="1:2">
      <c r="A899" s="169">
        <v>44832</v>
      </c>
      <c r="B899" s="170">
        <v>18.5</v>
      </c>
    </row>
    <row r="900" spans="1:2">
      <c r="A900" s="169">
        <v>44831</v>
      </c>
      <c r="B900" s="170">
        <v>18.04</v>
      </c>
    </row>
    <row r="901" spans="1:2">
      <c r="A901" s="169">
        <v>44830</v>
      </c>
      <c r="B901" s="170">
        <v>18.079999999999998</v>
      </c>
    </row>
    <row r="902" spans="1:2">
      <c r="A902" s="169">
        <v>44827</v>
      </c>
      <c r="B902" s="170">
        <v>18.18</v>
      </c>
    </row>
    <row r="903" spans="1:2">
      <c r="A903" s="169">
        <v>44826</v>
      </c>
      <c r="B903" s="170">
        <v>18.41</v>
      </c>
    </row>
    <row r="904" spans="1:2">
      <c r="A904" s="169">
        <v>44825</v>
      </c>
      <c r="B904" s="170">
        <v>18.66</v>
      </c>
    </row>
    <row r="905" spans="1:2">
      <c r="A905" s="169">
        <v>44824</v>
      </c>
      <c r="B905" s="170">
        <v>18.7</v>
      </c>
    </row>
    <row r="906" spans="1:2">
      <c r="A906" s="169">
        <v>44823</v>
      </c>
      <c r="B906" s="170">
        <v>18.95</v>
      </c>
    </row>
    <row r="907" spans="1:2">
      <c r="A907" s="169">
        <v>44820</v>
      </c>
      <c r="B907" s="170">
        <v>18.760000000000002</v>
      </c>
    </row>
    <row r="908" spans="1:2">
      <c r="A908" s="169">
        <v>44819</v>
      </c>
      <c r="B908" s="170">
        <v>18.72</v>
      </c>
    </row>
    <row r="909" spans="1:2">
      <c r="A909" s="169">
        <v>44818</v>
      </c>
      <c r="B909" s="170">
        <v>19.04</v>
      </c>
    </row>
    <row r="910" spans="1:2">
      <c r="A910" s="169">
        <v>44817</v>
      </c>
      <c r="B910" s="170">
        <v>19.04</v>
      </c>
    </row>
    <row r="911" spans="1:2">
      <c r="A911" s="169">
        <v>44816</v>
      </c>
      <c r="B911" s="170">
        <v>19.72</v>
      </c>
    </row>
    <row r="912" spans="1:2">
      <c r="A912" s="169">
        <v>44813</v>
      </c>
      <c r="B912" s="170">
        <v>19.52</v>
      </c>
    </row>
    <row r="913" spans="1:2">
      <c r="A913" s="169">
        <v>44812</v>
      </c>
      <c r="B913" s="172"/>
    </row>
    <row r="914" spans="1:2">
      <c r="A914" s="169">
        <v>44812</v>
      </c>
      <c r="B914" s="170">
        <v>19.239999999999998</v>
      </c>
    </row>
    <row r="915" spans="1:2">
      <c r="A915" s="169">
        <v>44811</v>
      </c>
      <c r="B915" s="170">
        <v>19.02</v>
      </c>
    </row>
    <row r="916" spans="1:2">
      <c r="A916" s="169">
        <v>44810</v>
      </c>
      <c r="B916" s="170">
        <v>18.79</v>
      </c>
    </row>
    <row r="917" spans="1:2">
      <c r="A917" s="169">
        <v>44806</v>
      </c>
      <c r="B917" s="170">
        <v>19.190000000000001</v>
      </c>
    </row>
    <row r="918" spans="1:2">
      <c r="A918" s="169">
        <v>44805</v>
      </c>
      <c r="B918" s="170">
        <v>19.36</v>
      </c>
    </row>
    <row r="919" spans="1:2">
      <c r="A919" s="169">
        <v>44804</v>
      </c>
      <c r="B919" s="170">
        <v>19.670000000000002</v>
      </c>
    </row>
    <row r="920" spans="1:2">
      <c r="A920" s="169">
        <v>44803</v>
      </c>
      <c r="B920" s="170">
        <v>19.82</v>
      </c>
    </row>
    <row r="921" spans="1:2">
      <c r="A921" s="169">
        <v>44802</v>
      </c>
      <c r="B921" s="170">
        <v>20.07</v>
      </c>
    </row>
    <row r="922" spans="1:2">
      <c r="A922" s="169">
        <v>44799</v>
      </c>
      <c r="B922" s="170">
        <v>20.2</v>
      </c>
    </row>
    <row r="923" spans="1:2">
      <c r="A923" s="169">
        <v>44798</v>
      </c>
      <c r="B923" s="170">
        <v>21.03</v>
      </c>
    </row>
    <row r="924" spans="1:2">
      <c r="A924" s="169">
        <v>44797</v>
      </c>
      <c r="B924" s="170">
        <v>20.66</v>
      </c>
    </row>
    <row r="925" spans="1:2">
      <c r="A925" s="169">
        <v>44796</v>
      </c>
      <c r="B925" s="170">
        <v>20.65</v>
      </c>
    </row>
    <row r="926" spans="1:2">
      <c r="A926" s="169">
        <v>44795</v>
      </c>
      <c r="B926" s="170">
        <v>20.73</v>
      </c>
    </row>
    <row r="927" spans="1:2">
      <c r="A927" s="169">
        <v>44792</v>
      </c>
      <c r="B927" s="170">
        <v>21.32</v>
      </c>
    </row>
    <row r="928" spans="1:2">
      <c r="A928" s="169">
        <v>44791</v>
      </c>
      <c r="B928" s="170">
        <v>21.51</v>
      </c>
    </row>
    <row r="929" spans="1:2">
      <c r="A929" s="169">
        <v>44790</v>
      </c>
      <c r="B929" s="170">
        <v>20.9</v>
      </c>
    </row>
    <row r="930" spans="1:2">
      <c r="A930" s="169">
        <v>44789</v>
      </c>
      <c r="B930" s="170">
        <v>21.07</v>
      </c>
    </row>
    <row r="931" spans="1:2">
      <c r="A931" s="169">
        <v>44788</v>
      </c>
      <c r="B931" s="170">
        <v>21.14</v>
      </c>
    </row>
    <row r="932" spans="1:2">
      <c r="A932" s="169">
        <v>44785</v>
      </c>
      <c r="B932" s="170">
        <v>21.18</v>
      </c>
    </row>
    <row r="933" spans="1:2">
      <c r="A933" s="169">
        <v>44784</v>
      </c>
      <c r="B933" s="170">
        <v>20.65</v>
      </c>
    </row>
    <row r="934" spans="1:2">
      <c r="A934" s="169">
        <v>44783</v>
      </c>
      <c r="B934" s="170">
        <v>20.6</v>
      </c>
    </row>
    <row r="935" spans="1:2">
      <c r="A935" s="169">
        <v>44782</v>
      </c>
      <c r="B935" s="170">
        <v>19.72</v>
      </c>
    </row>
    <row r="936" spans="1:2">
      <c r="A936" s="169">
        <v>44781</v>
      </c>
      <c r="B936" s="170">
        <v>20.52</v>
      </c>
    </row>
    <row r="937" spans="1:2">
      <c r="A937" s="169">
        <v>44778</v>
      </c>
      <c r="B937" s="170">
        <v>20.7</v>
      </c>
    </row>
    <row r="938" spans="1:2">
      <c r="A938" s="169">
        <v>44777</v>
      </c>
      <c r="B938" s="170">
        <v>21.08</v>
      </c>
    </row>
    <row r="939" spans="1:2">
      <c r="A939" s="169">
        <v>44776</v>
      </c>
      <c r="B939" s="170">
        <v>20.9</v>
      </c>
    </row>
    <row r="940" spans="1:2">
      <c r="A940" s="169">
        <v>44775</v>
      </c>
      <c r="B940" s="170">
        <v>20.75</v>
      </c>
    </row>
    <row r="941" spans="1:2">
      <c r="A941" s="169">
        <v>44774</v>
      </c>
      <c r="B941" s="170">
        <v>20.58</v>
      </c>
    </row>
    <row r="942" spans="1:2">
      <c r="A942" s="169">
        <v>44771</v>
      </c>
      <c r="B942" s="170">
        <v>20.66</v>
      </c>
    </row>
    <row r="943" spans="1:2">
      <c r="A943" s="169">
        <v>44770</v>
      </c>
      <c r="B943" s="170">
        <v>20.329999999999998</v>
      </c>
    </row>
    <row r="944" spans="1:2">
      <c r="A944" s="169">
        <v>44769</v>
      </c>
      <c r="B944" s="170">
        <v>20.03</v>
      </c>
    </row>
    <row r="945" spans="1:2">
      <c r="A945" s="169">
        <v>44768</v>
      </c>
      <c r="B945" s="170">
        <v>19.329999999999998</v>
      </c>
    </row>
    <row r="946" spans="1:2">
      <c r="A946" s="169">
        <v>44767</v>
      </c>
      <c r="B946" s="170">
        <v>19.3</v>
      </c>
    </row>
    <row r="947" spans="1:2">
      <c r="A947" s="169">
        <v>44764</v>
      </c>
      <c r="B947" s="170">
        <v>19.329999999999998</v>
      </c>
    </row>
    <row r="948" spans="1:2">
      <c r="A948" s="169">
        <v>44763</v>
      </c>
      <c r="B948" s="170">
        <v>19.829999999999998</v>
      </c>
    </row>
    <row r="949" spans="1:2">
      <c r="A949" s="169">
        <v>44762</v>
      </c>
      <c r="B949" s="170">
        <v>19.66</v>
      </c>
    </row>
    <row r="950" spans="1:2">
      <c r="A950" s="169">
        <v>44761</v>
      </c>
      <c r="B950" s="170">
        <v>19.510000000000002</v>
      </c>
    </row>
    <row r="951" spans="1:2">
      <c r="A951" s="169">
        <v>44760</v>
      </c>
      <c r="B951" s="170">
        <v>18.79</v>
      </c>
    </row>
    <row r="952" spans="1:2">
      <c r="A952" s="169">
        <v>44757</v>
      </c>
      <c r="B952" s="170">
        <v>19.3</v>
      </c>
    </row>
    <row r="953" spans="1:2">
      <c r="A953" s="169">
        <v>44756</v>
      </c>
      <c r="B953" s="170">
        <v>18.7</v>
      </c>
    </row>
    <row r="954" spans="1:2">
      <c r="A954" s="169">
        <v>44755</v>
      </c>
      <c r="B954" s="170">
        <v>18.72</v>
      </c>
    </row>
    <row r="955" spans="1:2">
      <c r="A955" s="169">
        <v>44754</v>
      </c>
      <c r="B955" s="170">
        <v>18.47</v>
      </c>
    </row>
    <row r="956" spans="1:2">
      <c r="A956" s="169">
        <v>44753</v>
      </c>
      <c r="B956" s="170">
        <v>18.41</v>
      </c>
    </row>
    <row r="957" spans="1:2">
      <c r="A957" s="169">
        <v>44750</v>
      </c>
      <c r="B957" s="170">
        <v>18.23</v>
      </c>
    </row>
    <row r="958" spans="1:2">
      <c r="A958" s="169">
        <v>44749</v>
      </c>
      <c r="B958" s="170">
        <v>17.8</v>
      </c>
    </row>
    <row r="959" spans="1:2">
      <c r="A959" s="169">
        <v>44748</v>
      </c>
      <c r="B959" s="170">
        <v>17.22</v>
      </c>
    </row>
    <row r="960" spans="1:2">
      <c r="A960" s="169">
        <v>44747</v>
      </c>
      <c r="B960" s="170">
        <v>17.28</v>
      </c>
    </row>
    <row r="961" spans="1:2">
      <c r="A961" s="169">
        <v>44743</v>
      </c>
      <c r="B961" s="170">
        <v>17.399999999999999</v>
      </c>
    </row>
    <row r="962" spans="1:2">
      <c r="A962" s="169">
        <v>44742</v>
      </c>
      <c r="B962" s="170">
        <v>17.82</v>
      </c>
    </row>
    <row r="963" spans="1:2">
      <c r="A963" s="169">
        <v>44741</v>
      </c>
      <c r="B963" s="170">
        <v>17.95</v>
      </c>
    </row>
    <row r="964" spans="1:2">
      <c r="A964" s="169">
        <v>44740</v>
      </c>
      <c r="B964" s="170">
        <v>18.22</v>
      </c>
    </row>
    <row r="965" spans="1:2">
      <c r="A965" s="169">
        <v>44739</v>
      </c>
      <c r="B965" s="170">
        <v>18.39</v>
      </c>
    </row>
    <row r="966" spans="1:2">
      <c r="A966" s="169">
        <v>44736</v>
      </c>
      <c r="B966" s="170">
        <v>17.91</v>
      </c>
    </row>
    <row r="967" spans="1:2">
      <c r="A967" s="169">
        <v>44735</v>
      </c>
      <c r="B967" s="170">
        <v>17.53</v>
      </c>
    </row>
    <row r="968" spans="1:2">
      <c r="A968" s="169">
        <v>44734</v>
      </c>
      <c r="B968" s="170">
        <v>17.8</v>
      </c>
    </row>
    <row r="969" spans="1:2">
      <c r="A969" s="169">
        <v>44733</v>
      </c>
      <c r="B969" s="170">
        <v>18</v>
      </c>
    </row>
    <row r="970" spans="1:2">
      <c r="A970" s="169">
        <v>44729</v>
      </c>
      <c r="B970" s="170">
        <v>17.79</v>
      </c>
    </row>
    <row r="971" spans="1:2">
      <c r="A971" s="169">
        <v>44728</v>
      </c>
      <c r="B971" s="172"/>
    </row>
    <row r="972" spans="1:2">
      <c r="A972" s="169">
        <v>44728</v>
      </c>
      <c r="B972" s="170">
        <v>17.62</v>
      </c>
    </row>
    <row r="973" spans="1:2">
      <c r="A973" s="169">
        <v>44727</v>
      </c>
      <c r="B973" s="170">
        <v>18.86</v>
      </c>
    </row>
    <row r="974" spans="1:2">
      <c r="A974" s="169">
        <v>44726</v>
      </c>
      <c r="B974" s="170">
        <v>18.690000000000001</v>
      </c>
    </row>
    <row r="975" spans="1:2">
      <c r="A975" s="169">
        <v>44725</v>
      </c>
      <c r="B975" s="170">
        <v>18.600000000000001</v>
      </c>
    </row>
    <row r="976" spans="1:2">
      <c r="A976" s="169">
        <v>44722</v>
      </c>
      <c r="B976" s="170">
        <v>19.32</v>
      </c>
    </row>
    <row r="977" spans="1:2">
      <c r="A977" s="169">
        <v>44721</v>
      </c>
      <c r="B977" s="170">
        <v>19.809999999999999</v>
      </c>
    </row>
    <row r="978" spans="1:2">
      <c r="A978" s="169">
        <v>44720</v>
      </c>
      <c r="B978" s="170">
        <v>20.16</v>
      </c>
    </row>
    <row r="979" spans="1:2">
      <c r="A979" s="169">
        <v>44719</v>
      </c>
      <c r="B979" s="170">
        <v>20.57</v>
      </c>
    </row>
    <row r="980" spans="1:2">
      <c r="A980" s="169">
        <v>44718</v>
      </c>
      <c r="B980" s="170">
        <v>20.56</v>
      </c>
    </row>
    <row r="981" spans="1:2">
      <c r="A981" s="169">
        <v>44715</v>
      </c>
      <c r="B981" s="170">
        <v>20.440000000000001</v>
      </c>
    </row>
    <row r="982" spans="1:2">
      <c r="A982" s="169">
        <v>44714</v>
      </c>
      <c r="B982" s="170">
        <v>20.73</v>
      </c>
    </row>
    <row r="983" spans="1:2">
      <c r="A983" s="169">
        <v>44713</v>
      </c>
      <c r="B983" s="170">
        <v>20.36</v>
      </c>
    </row>
    <row r="984" spans="1:2">
      <c r="A984" s="169">
        <v>44712</v>
      </c>
      <c r="B984" s="170">
        <v>20.440000000000001</v>
      </c>
    </row>
    <row r="985" spans="1:2">
      <c r="A985" s="169">
        <v>44708</v>
      </c>
      <c r="B985" s="170">
        <v>20.36</v>
      </c>
    </row>
    <row r="986" spans="1:2">
      <c r="A986" s="169">
        <v>44707</v>
      </c>
      <c r="B986" s="170">
        <v>20.059999999999999</v>
      </c>
    </row>
    <row r="987" spans="1:2">
      <c r="A987" s="169">
        <v>44706</v>
      </c>
      <c r="B987" s="170">
        <v>19.670000000000002</v>
      </c>
    </row>
    <row r="988" spans="1:2">
      <c r="A988" s="169">
        <v>44705</v>
      </c>
      <c r="B988" s="170">
        <v>19.52</v>
      </c>
    </row>
    <row r="989" spans="1:2">
      <c r="A989" s="169">
        <v>44704</v>
      </c>
      <c r="B989" s="170">
        <v>19.78</v>
      </c>
    </row>
    <row r="990" spans="1:2">
      <c r="A990" s="169">
        <v>44701</v>
      </c>
      <c r="B990" s="170">
        <v>19.579999999999998</v>
      </c>
    </row>
    <row r="991" spans="1:2">
      <c r="A991" s="169">
        <v>44700</v>
      </c>
      <c r="B991" s="170">
        <v>19.71</v>
      </c>
    </row>
    <row r="992" spans="1:2">
      <c r="A992" s="169">
        <v>44699</v>
      </c>
      <c r="B992" s="170">
        <v>19.829999999999998</v>
      </c>
    </row>
    <row r="993" spans="1:2">
      <c r="A993" s="169">
        <v>44698</v>
      </c>
      <c r="B993" s="170">
        <v>20.51</v>
      </c>
    </row>
    <row r="994" spans="1:2">
      <c r="A994" s="169">
        <v>44697</v>
      </c>
      <c r="B994" s="170">
        <v>19.420000000000002</v>
      </c>
    </row>
    <row r="995" spans="1:2">
      <c r="A995" s="169">
        <v>44694</v>
      </c>
      <c r="B995" s="170">
        <v>19.53</v>
      </c>
    </row>
    <row r="996" spans="1:2">
      <c r="A996" s="169">
        <v>44693</v>
      </c>
      <c r="B996" s="170">
        <v>19.010000000000002</v>
      </c>
    </row>
    <row r="997" spans="1:2">
      <c r="A997" s="169">
        <v>44692</v>
      </c>
      <c r="B997" s="170">
        <v>18.98</v>
      </c>
    </row>
    <row r="998" spans="1:2">
      <c r="A998" s="169">
        <v>44691</v>
      </c>
      <c r="B998" s="170">
        <v>19.25</v>
      </c>
    </row>
    <row r="999" spans="1:2">
      <c r="A999" s="169">
        <v>44690</v>
      </c>
      <c r="B999" s="170">
        <v>18.809999999999999</v>
      </c>
    </row>
    <row r="1000" spans="1:2">
      <c r="A1000" s="169">
        <v>44687</v>
      </c>
      <c r="B1000" s="170">
        <v>19.02</v>
      </c>
    </row>
    <row r="1001" spans="1:2">
      <c r="A1001" s="169">
        <v>44686</v>
      </c>
      <c r="B1001" s="170">
        <v>19.09</v>
      </c>
    </row>
    <row r="1002" spans="1:2">
      <c r="A1002" s="169">
        <v>44685</v>
      </c>
      <c r="B1002" s="170">
        <v>19.920000000000002</v>
      </c>
    </row>
    <row r="1003" spans="1:2">
      <c r="A1003" s="169">
        <v>44684</v>
      </c>
      <c r="B1003" s="170">
        <v>19.32</v>
      </c>
    </row>
    <row r="1004" spans="1:2">
      <c r="A1004" s="169">
        <v>44683</v>
      </c>
      <c r="B1004" s="170">
        <v>18.96</v>
      </c>
    </row>
    <row r="1005" spans="1:2">
      <c r="A1005" s="169">
        <v>44680</v>
      </c>
      <c r="B1005" s="170">
        <v>18.63</v>
      </c>
    </row>
    <row r="1006" spans="1:2">
      <c r="A1006" s="169">
        <v>44679</v>
      </c>
      <c r="B1006" s="170">
        <v>19.12</v>
      </c>
    </row>
    <row r="1007" spans="1:2">
      <c r="A1007" s="169">
        <v>44678</v>
      </c>
      <c r="B1007" s="170">
        <v>18.25</v>
      </c>
    </row>
    <row r="1008" spans="1:2">
      <c r="A1008" s="169">
        <v>44677</v>
      </c>
      <c r="B1008" s="170">
        <v>18.170000000000002</v>
      </c>
    </row>
    <row r="1009" spans="1:2">
      <c r="A1009" s="169">
        <v>44676</v>
      </c>
      <c r="B1009" s="170">
        <v>18.739999999999998</v>
      </c>
    </row>
    <row r="1010" spans="1:2">
      <c r="A1010" s="169">
        <v>44673</v>
      </c>
      <c r="B1010" s="170">
        <v>18.48</v>
      </c>
    </row>
    <row r="1011" spans="1:2">
      <c r="A1011" s="169">
        <v>44672</v>
      </c>
      <c r="B1011" s="170">
        <v>18.84</v>
      </c>
    </row>
    <row r="1012" spans="1:2">
      <c r="A1012" s="169">
        <v>44671</v>
      </c>
      <c r="B1012" s="170">
        <v>18.82</v>
      </c>
    </row>
    <row r="1013" spans="1:2">
      <c r="A1013" s="169">
        <v>44670</v>
      </c>
      <c r="B1013" s="170">
        <v>18.63</v>
      </c>
    </row>
    <row r="1014" spans="1:2">
      <c r="A1014" s="169">
        <v>44669</v>
      </c>
      <c r="B1014" s="170">
        <v>18.3</v>
      </c>
    </row>
    <row r="1015" spans="1:2">
      <c r="A1015" s="169">
        <v>44665</v>
      </c>
      <c r="B1015" s="170">
        <v>18.13</v>
      </c>
    </row>
    <row r="1016" spans="1:2">
      <c r="A1016" s="169">
        <v>44664</v>
      </c>
      <c r="B1016" s="170">
        <v>18.420000000000002</v>
      </c>
    </row>
    <row r="1017" spans="1:2">
      <c r="A1017" s="169">
        <v>44663</v>
      </c>
      <c r="B1017" s="170">
        <v>17.93</v>
      </c>
    </row>
    <row r="1018" spans="1:2">
      <c r="A1018" s="169">
        <v>44662</v>
      </c>
      <c r="B1018" s="170">
        <v>17.579999999999998</v>
      </c>
    </row>
    <row r="1019" spans="1:2">
      <c r="A1019" s="169">
        <v>44659</v>
      </c>
      <c r="B1019" s="170">
        <v>17.850000000000001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Notes</vt:lpstr>
      <vt:lpstr>Model</vt:lpstr>
      <vt:lpstr>Sheet2</vt:lpstr>
      <vt:lpstr>DCF</vt:lpstr>
      <vt:lpstr>Relative Valuation</vt:lpstr>
      <vt:lpstr>Valuation</vt:lpstr>
      <vt:lpstr>Scenarios</vt:lpstr>
      <vt:lpstr>Model Summary</vt:lpstr>
      <vt:lpstr>Share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Liu</dc:creator>
  <cp:lastModifiedBy>Riya Desai</cp:lastModifiedBy>
  <dcterms:created xsi:type="dcterms:W3CDTF">2025-03-05T19:20:01Z</dcterms:created>
  <dcterms:modified xsi:type="dcterms:W3CDTF">2026-09-23T01:14:17Z</dcterms:modified>
</cp:coreProperties>
</file>